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ome Statement" sheetId="1" state="visible" r:id="rId3"/>
    <sheet name="Balance Sheet" sheetId="2" state="visible" r:id="rId4"/>
    <sheet name="Ratios" sheetId="3" state="visible" r:id="rId5"/>
    <sheet name="Growth" sheetId="4" state="visible" r:id="rId6"/>
    <sheet name="Relative Valuation" sheetId="5" state="visible" r:id="rId7"/>
    <sheet name="Cash Flow Statement" sheetId="6" state="visible" r:id="rId8"/>
    <sheet name="Cost of Capital (WACC)" sheetId="7" state="visible" r:id="rId9"/>
    <sheet name="DCF 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<sst xmlns="http://schemas.openxmlformats.org/spreadsheetml/2006/main" count="565" uniqueCount="479">
  <si>
    <t xml:space="preserve">Kraft Heinz Company (KHC) — Forecasted Income Statement</t>
  </si>
  <si>
    <t xml:space="preserve">$ in millions, except per-share data | Unadjusted historical financials (FactSet) | Blue = hardcoded input, Black = formula</t>
  </si>
  <si>
    <t xml:space="preserve">Historical</t>
  </si>
  <si>
    <t xml:space="preserve">Forecast</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</si>
  <si>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</si>
  <si>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</si>
  <si>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</si>
  <si>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</si>
  <si>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</si>
  <si>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</si>
  <si>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</si>
  <si>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</si>
  <si>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</si>
  <si>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</si>
  <si>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</si>
  <si>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</si>
  <si>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</si>
  <si>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</si>
  <si>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</si>
  <si>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Net Sales</t>
  </si>
  <si>
    <t xml:space="preserve">   % Growth (YoY)</t>
  </si>
  <si>
    <t xml:space="preserve">Cost of Goods Sold, excl. D&amp;A</t>
  </si>
  <si>
    <t xml:space="preserve">   COGS excl. D&amp;A % of Net Sales</t>
  </si>
  <si>
    <t xml:space="preserve">Depreciation Expense</t>
  </si>
  <si>
    <t xml:space="preserve">   Depreciation % of Prior-Year Net PP&amp;E</t>
  </si>
  <si>
    <t xml:space="preserve">Amortization Expense</t>
  </si>
  <si>
    <t xml:space="preserve">   Amortization % of Prior-Year Intangible Assets</t>
  </si>
  <si>
    <t xml:space="preserve">Cost of Goods Sold, incl. D&amp;A</t>
  </si>
  <si>
    <t xml:space="preserve">Gross Profit</t>
  </si>
  <si>
    <t xml:space="preserve">SG&amp;A Expense</t>
  </si>
  <si>
    <t xml:space="preserve">   SG&amp;A % of Net Sales</t>
  </si>
  <si>
    <t xml:space="preserve">EBIT (Operating Income)</t>
  </si>
  <si>
    <t xml:space="preserve">Nonoperating Income - Net</t>
  </si>
  <si>
    <t xml:space="preserve">Unusual Expense - Net</t>
  </si>
  <si>
    <t xml:space="preserve">Interest Expense</t>
  </si>
  <si>
    <t xml:space="preserve">   Interest Expense % of Prior-Year Total Debt</t>
  </si>
  <si>
    <t xml:space="preserve">Pretax Income</t>
  </si>
  <si>
    <t xml:space="preserve">Income Taxes</t>
  </si>
  <si>
    <t xml:space="preserve">   Effective Tax Rate</t>
  </si>
  <si>
    <t xml:space="preserve">Consolidated Net Income</t>
  </si>
  <si>
    <t xml:space="preserve">Minority Interest</t>
  </si>
  <si>
    <t xml:space="preserve">Net Income</t>
  </si>
  <si>
    <t xml:space="preserve">Preferred Dividends</t>
  </si>
  <si>
    <t xml:space="preserve">Net Income Available to Common</t>
  </si>
  <si>
    <t xml:space="preserve">Memo: Basic Shares Outstanding</t>
  </si>
  <si>
    <t xml:space="preserve">Memo: Dividends per Share (historical)</t>
  </si>
  <si>
    <t xml:space="preserve">KEY ASSUMPTIONS (drive the forecast)</t>
  </si>
  <si>
    <t xml:space="preserve">Historical Average Revenue Growth Rate</t>
  </si>
  <si>
    <t xml:space="preserve">Sustainable Growth Rate, FY25 (ROE x Retention) — reference only</t>
  </si>
  <si>
    <t xml:space="preserve">Selected Revenue Growth Rate (used in forecast)</t>
  </si>
  <si>
    <t xml:space="preserve">Average COGS excl. D&amp;A % of Net Sales</t>
  </si>
  <si>
    <t xml:space="preserve">Average Depreciation % of Prior-Year Net PP&amp;E</t>
  </si>
  <si>
    <t xml:space="preserve">Average Amortization % of Prior-Year Intangible Assets</t>
  </si>
  <si>
    <t xml:space="preserve">Average SG&amp;A % of Net Sales</t>
  </si>
  <si>
    <t xml:space="preserve">Average Interest Expense % of Prior-Year Total Debt</t>
  </si>
  <si>
    <t xml:space="preserve">Average Effective Tax Rate, all years — reference only</t>
  </si>
  <si>
    <t xml:space="preserve">Selected Tax Rate (used in forecast) — Normal-Year Average</t>
  </si>
  <si>
    <t xml:space="preserve">Note: FY2025 sustainable growth is not meaningful (negative net income); historical average growth is used to drive the forecast.</t>
  </si>
  <si>
    <t xml:space="preserve">Note: Unusual Expense is set to $0 in the forecast because, by definition, these are non-recurring items (e.g., FY24-25 goodwill impairments).</t>
  </si>
  <si>
    <t xml:space="preserve">Note: Nonoperating Income is held flat at the FY2025 level per Topic 7 guidance (non-sales-driven, difficult to forecast reliably).</t>
  </si>
  <si>
    <t xml:space="preserve">Note: The all-year average effective tax rate is negative because several historical years combine large impairment-driven pretax losses with positive tax expense (or vice versa) — a known artifact of unadjusted financials. The forecast instead uses 24.2%, the average effective tax rate of KHC's normal (non-impairment-distorted) years, so Income Taxes behave as a realistic cash cost rather than a tax benefit.</t>
  </si>
  <si>
    <t xml:space="preserve">Memo: Basic EPS = Net Income Available to Common / Basic Shares Outstanding</t>
  </si>
  <si>
    <t xml:space="preserve">Kraft Heinz Company (KHC) — Forecasted Balance Sheet</t>
  </si>
  <si>
    <t xml:space="preserve">$ in millions | Unadjusted historical financials (FactSet) | Blue = hardcoded input, Black = formula, Green = link to other sheet</t>
  </si>
  <si>
    <t xml:space="preserve">ASSETS</t>
  </si>
  <si>
    <t xml:space="preserve">Cash &amp; Short-Term Investments</t>
  </si>
  <si>
    <t xml:space="preserve">Accounts Receivable, Net</t>
  </si>
  <si>
    <t xml:space="preserve">   AR Turnover (Net Sales / AR)</t>
  </si>
  <si>
    <t xml:space="preserve">Inventories</t>
  </si>
  <si>
    <t xml:space="preserve">   Inventory Turnover (COGS incl. D&amp;A / Inventory)</t>
  </si>
  <si>
    <t xml:space="preserve">Other Current Assets</t>
  </si>
  <si>
    <t xml:space="preserve">   Other Current Assets % of Net Sales</t>
  </si>
  <si>
    <t xml:space="preserve">Total Current Assets</t>
  </si>
  <si>
    <t xml:space="preserve">Capital Expenditures (historical actual / forecast via ratio)</t>
  </si>
  <si>
    <t xml:space="preserve">   CapEx % of Net Sales</t>
  </si>
  <si>
    <t xml:space="preserve">Net Property, Plant &amp; Equipment</t>
  </si>
  <si>
    <t xml:space="preserve">Goodwill</t>
  </si>
  <si>
    <t xml:space="preserve">Other Intangible Assets (amortizable)</t>
  </si>
  <si>
    <t xml:space="preserve">Total Intangible Assets</t>
  </si>
  <si>
    <t xml:space="preserve">Other Long-Term Assets (LT Investments + Other Assets)</t>
  </si>
  <si>
    <t xml:space="preserve">TOTAL ASSETS</t>
  </si>
  <si>
    <t xml:space="preserve">LIABILITIES</t>
  </si>
  <si>
    <t xml:space="preserve">Accounts Payable</t>
  </si>
  <si>
    <t xml:space="preserve">   AP Turnover (COGS incl. D&amp;A / AP)</t>
  </si>
  <si>
    <t xml:space="preserve">ST Debt &amp; Current Portion of LT Debt</t>
  </si>
  <si>
    <t xml:space="preserve">Other Current Liabilities</t>
  </si>
  <si>
    <t xml:space="preserve">   Other Current Liabilities % of Net Sales</t>
  </si>
  <si>
    <t xml:space="preserve">Total Current Liabilities</t>
  </si>
  <si>
    <t xml:space="preserve">Long-Term Debt</t>
  </si>
  <si>
    <t xml:space="preserve">Deferred Tax Liabilities</t>
  </si>
  <si>
    <t xml:space="preserve">Other LT Liabilities (Other Liab. + Provisions)</t>
  </si>
  <si>
    <t xml:space="preserve">TOTAL LIABILITIES</t>
  </si>
  <si>
    <t xml:space="preserve">SHAREHOLDERS' EQUITY</t>
  </si>
  <si>
    <t xml:space="preserve">Common Stock, Par Value</t>
  </si>
  <si>
    <t xml:space="preserve">Additional Paid-In Capital</t>
  </si>
  <si>
    <t xml:space="preserve">Retained Earnings</t>
  </si>
  <si>
    <t xml:space="preserve">Cumulative Translation Adjustment</t>
  </si>
  <si>
    <t xml:space="preserve">Other Appropriated Reserves</t>
  </si>
  <si>
    <t xml:space="preserve">Treasury Stock</t>
  </si>
  <si>
    <t xml:space="preserve">Total Shareholders' Equity</t>
  </si>
  <si>
    <t xml:space="preserve">Accumulated Minority Interest</t>
  </si>
  <si>
    <t xml:space="preserve">TOTAL EQUITY</t>
  </si>
  <si>
    <t xml:space="preserve">TOTAL LIABILITIES &amp; SHAREHOLDERS' EQUITY</t>
  </si>
  <si>
    <t xml:space="preserve">CHECK: Total Assets − Total Liab. &amp; Equity (must = 0)</t>
  </si>
  <si>
    <t xml:space="preserve">Total Common &amp; Preferred Dividends Paid (historical actual / forecast via payout ratio)</t>
  </si>
  <si>
    <t xml:space="preserve">   Historical Payout Ratio (Div. Paid / NI avail. to Common)</t>
  </si>
  <si>
    <t xml:space="preserve">Average AR Turnover</t>
  </si>
  <si>
    <t xml:space="preserve">Average Inventory Turnover</t>
  </si>
  <si>
    <t xml:space="preserve">Average AP Turnover</t>
  </si>
  <si>
    <t xml:space="preserve">Average CapEx % of Net Sales</t>
  </si>
  <si>
    <t xml:space="preserve">Average Other Current Assets % of Net Sales</t>
  </si>
  <si>
    <t xml:space="preserve">Average Other Current Liabilities % of Net Sales</t>
  </si>
  <si>
    <t xml:space="preserve">Historical Average Payout Ratio, FY16-25 (positive-NI years) — reference only</t>
  </si>
  <si>
    <t xml:space="preserve">Selected Payout Ratio (used in forecast) — Recent 3-Yr Avg, FY22-24</t>
  </si>
  <si>
    <t xml:space="preserve">Debt Assumption: ST Debt &amp; LT Debt held CONSTANT at the FY2025 balance for all forecast years (constant-debt-balance approach).</t>
  </si>
  <si>
    <t xml:space="preserve">Deferred Tax Liabilities, Other LT Liabilities, Other LT Assets, Goodwill, and all non-Retained-Earnings equity accounts are held constant at the FY2025 level (Topic 7, Steps 8 &amp; 10).</t>
  </si>
  <si>
    <t xml:space="preserve">Note: The full 10-year average payout ratio (~150%) is unsustainable — it reflects two impairment-driven loss years (FY18, FY25) and the FY20 pandemic earnings trough (payout spiked to ~550% that year alone). The forecast instead uses the FY2022-2024 average (~74%), KHC's normalized recent payout policy, so the cash forecast is realistic rather than mechanically negative.</t>
  </si>
  <si>
    <t xml:space="preserve">Kraft Heinz Company (KHC) — Profitability, Productivity &amp; Credit Risk Ratios (Point 3)</t>
  </si>
  <si>
    <t xml:space="preserve">$ in millions unless noted | Black = same-sheet formula, Green = link to other sheet</t>
  </si>
  <si>
    <t xml:space="preserve">Fiscal Year</t>
  </si>
  <si>
    <t xml:space="preserve">1. PROFITABILITY</t>
  </si>
  <si>
    <t xml:space="preserve">Gross Margin = Gross Profit / Net Sales</t>
  </si>
  <si>
    <t xml:space="preserve">Operating Margin = EBIT / Net Sales</t>
  </si>
  <si>
    <t xml:space="preserve">Net Margin = Net Income Avail. to Common / Net Sales</t>
  </si>
  <si>
    <t xml:space="preserve">Return on Equity (ROE) = Net Income Avail. to Common / Total Shareholders’ Equity</t>
  </si>
  <si>
    <t xml:space="preserve">Return on Assets (ROA) = Net Income Avail. to Common / Total Assets</t>
  </si>
  <si>
    <t xml:space="preserve">2. PRODUCTIVITY (linked from Balance Sheet tab)</t>
  </si>
  <si>
    <t xml:space="preserve">AR Turnover = Net Sales / Accounts Receivable</t>
  </si>
  <si>
    <t xml:space="preserve">Inventory Turnover = COGS incl. D&amp;A / Inventory</t>
  </si>
  <si>
    <t xml:space="preserve">AP Turnover = COGS incl. D&amp;A / Accounts Payable</t>
  </si>
  <si>
    <t xml:space="preserve">Total Asset Turnover = Net Sales / Total Assets</t>
  </si>
  <si>
    <t xml:space="preserve">3. CREDIT RISK</t>
  </si>
  <si>
    <t xml:space="preserve">Current Ratio = Total Current Assets / Total Current Liabilities</t>
  </si>
  <si>
    <t xml:space="preserve">Debt-to-Equity = (ST Debt + LT Debt) / Total Shareholders’ Equity</t>
  </si>
  <si>
    <t xml:space="preserve">Interest Coverage = EBIT / Interest Expense</t>
  </si>
  <si>
    <t xml:space="preserve">Altman Z”-Score = 6.56(X1) + 3.26(X2) + 6.72(X3) + 1.05(X4)</t>
  </si>
  <si>
    <t xml:space="preserve">   X1 = Working Capital / Total Assets</t>
  </si>
  <si>
    <t xml:space="preserve">   X2 = Retained Earnings / Total Assets</t>
  </si>
  <si>
    <t xml:space="preserve">   X3 = EBIT / Total Assets</t>
  </si>
  <si>
    <t xml:space="preserve">   X4 = Book Value of Total Shareholders’ Equity / Total Liabilities</t>
  </si>
  <si>
    <t xml:space="preserve">Altman Z”-Score</t>
  </si>
  <si>
    <t xml:space="preserve">Zone</t>
  </si>
  <si>
    <t xml:space="preserve">Note: Altman Z” (private-firm / non-manufacturer variant, book value of equity, no asset-turnover term) computed for FY2023-FY2025 to match the trend period discussed in Point 7A. Zones: Distress &lt; 1.1, Grey Zone 1.1-2.6, Safe &gt; 2.6.</t>
  </si>
  <si>
    <t xml:space="preserve">Kraft Heinz Company (KHC) — Historical &amp; Forecasted Growth (Point 4)</t>
  </si>
  <si>
    <t xml:space="preserve">Comparable: McCormick &amp; Company (MKC) | Black = same-sheet formula, Green = link to other sheet, Blue = input assumption (external source)</t>
  </si>
  <si>
    <t xml:space="preserve">1. KHC — HISTORICAL GROWTH (FY2016-FY2025)</t>
  </si>
  <si>
    <t xml:space="preserve">Net Sales ($mm)</t>
  </si>
  <si>
    <t xml:space="preserve">EBITDA ($mm) = EBIT + Depreciation + Amortization</t>
  </si>
  <si>
    <t xml:space="preserve">EPS, Basic ($)</t>
  </si>
  <si>
    <t xml:space="preserve">10-Year CAGR, FY2016-FY2025</t>
  </si>
  <si>
    <t xml:space="preserve">   Net Sales CAGR</t>
  </si>
  <si>
    <t xml:space="preserve">   EBITDA CAGR</t>
  </si>
  <si>
    <t xml:space="preserve">   EPS CAGR — not meaningful (see note)</t>
  </si>
  <si>
    <t xml:space="preserve">"n/m"</t>
  </si>
  <si>
    <t xml:space="preserve">Note: EPS CAGR cannot be meaningfully calculated over FY2016-FY2025 because EPS changes sign multiple times (FY2017 one-time tax-reform benefit of $8.98; FY2018 impairment-driven loss of ($8.36); FY2025 goodwill-impairment loss of ($4.93)) — a compound growth rate is undefined/misleading across sign reversals. The raw EPS series above is presented instead; the takeaway is extreme period-to-period volatility driven by non-cash impairments, not an underlying earnings trend.</t>
  </si>
  <si>
    <t xml:space="preserve">2. KHC — FORECASTED GROWTH (FY2026-FY2030)</t>
  </si>
  <si>
    <t xml:space="preserve">EBITDA ($mm)</t>
  </si>
  <si>
    <t xml:space="preserve">4-Year Forecast CAGR, FY2026-FY2030</t>
  </si>
  <si>
    <t xml:space="preserve">   EPS CAGR</t>
  </si>
  <si>
    <t xml:space="preserve">Note: All forecast years exclude non-recurring impairments (Income Statement, row 51), so forecast EPS is consistently positive and a CAGR is meaningful, unlike the historical series above.</t>
  </si>
  <si>
    <t xml:space="preserve">3. COMPARABLE — MCCORMICK &amp; COMPANY (MKC) HISTORICAL &amp; FORECASTED GROWTH</t>
  </si>
  <si>
    <t xml:space="preserve">Source: FIN4035_2026Summer_MKC_Week12.xlsx, "Growth" tab (course-provided, week 12), accessed 8/2/2026. Hardcoded per source — not derived from KHC model.</t>
  </si>
  <si>
    <t xml:space="preserve">Measure</t>
  </si>
  <si>
    <t xml:space="preserve">Value</t>
  </si>
  <si>
    <t xml:space="preserve">Sample Period</t>
  </si>
  <si>
    <t xml:space="preserve">Estimation Method</t>
  </si>
  <si>
    <t xml:space="preserve">Historical Sales Growth</t>
  </si>
  <si>
    <t xml:space="preserve">2022-2025</t>
  </si>
  <si>
    <t xml:space="preserve">Arithmetic Average</t>
  </si>
  <si>
    <t xml:space="preserve">Historical EPS Growth</t>
  </si>
  <si>
    <t xml:space="preserve">2020-2025</t>
  </si>
  <si>
    <t xml:space="preserve">Geometric Average</t>
  </si>
  <si>
    <t xml:space="preserve">Forecast Sales Growth (Analyst Consensus)</t>
  </si>
  <si>
    <t xml:space="preserve">2027-2028</t>
  </si>
  <si>
    <t xml:space="preserve">Forecast EPS Growth — Short Run</t>
  </si>
  <si>
    <t xml:space="preserve">2026-2027</t>
  </si>
  <si>
    <t xml:space="preserve">Forecast EPS Growth — Long Run</t>
  </si>
  <si>
    <t xml:space="preserve">n/a</t>
  </si>
  <si>
    <t xml:space="preserve">Analyst Long-Term Estimate</t>
  </si>
  <si>
    <t xml:space="preserve">Forecast EBITDA Growth</t>
  </si>
  <si>
    <t xml:space="preserve">4. SUMMARY — KHC vs. MKC GROWTH COMPARISON</t>
  </si>
  <si>
    <t xml:space="preserve">KHC</t>
  </si>
  <si>
    <t xml:space="preserve">MKC</t>
  </si>
  <si>
    <t xml:space="preserve">Historical Sales Growth (CAGR)</t>
  </si>
  <si>
    <t xml:space="preserve">Forecast Sales Growth</t>
  </si>
  <si>
    <t xml:space="preserve">Forecast EPS Growth</t>
  </si>
  <si>
    <t xml:space="preserve">Takeaway: KHC’s forecast growth is modestly negative across Sales/EBITDA/EPS (conservative, historical-trend-driven baseline), while MKC is forecast to grow low-to-mid single digits across all three measures — consistent with MKC’s stronger historical trend and analyst outlook. This growth gap is a key driver of the differing valuation multiples applied in Point 5.</t>
  </si>
  <si>
    <t xml:space="preserve">Kraft Heinz Company (KHC) — Relative Valuation (Point 5)</t>
  </si>
  <si>
    <t xml:space="preserve">$ in millions except per-share and multiple values | Comparable: McCormick &amp; Co. (MKC) | Black = same-sheet formula, Green = link to other sheet, Blue = input assumption (external source)</t>
  </si>
  <si>
    <t xml:space="preserve">1. DATA SOURCE &amp; PRICE CORRECTION NOTE</t>
  </si>
  <si>
    <t xml:space="preserve">Source: FIN4035_2026Summer_Comp.xlsx, "Relative Valuation Input" tab (course-provided), figures as of 7/27/2026, accessed 8/2/2026.</t>
  </si>
  <si>
    <t xml:space="preserve">CORRECTION: the source file's per-share price row (row 16) lists KHC at $50.61 and MKC at $26.22. Live market data checked 8/2/2026 (StockAnalysis.com, TradingView) shows KHC trading ~$25-28/share and MKC trading ~$48-64/share — all other fields (net income, shares outstanding, EBIT, D&amp;A) check out against public data for both companies, isolating the error to this one row. The KHC and MKC prices appear transposed in the source file. Prices below are corrected accordingly and flagged for the professor.</t>
  </si>
  <si>
    <t xml:space="preserve">2. INPUT DATA (FY2025 / TTM, as of 7/27/2026 unless noted)</t>
  </si>
  <si>
    <t xml:space="preserve">Current Price per Share (corrected)</t>
  </si>
  <si>
    <t xml:space="preserve">Diluted Shares Outstanding (mm)</t>
  </si>
  <si>
    <t xml:space="preserve">Net Income — Adjusted (excl. non-recurring items)</t>
  </si>
  <si>
    <t xml:space="preserve">EPS — Adjusted, Diluted</t>
  </si>
  <si>
    <t xml:space="preserve">EBIT — Adjusted</t>
  </si>
  <si>
    <t xml:space="preserve">D&amp;A — Adjusted</t>
  </si>
  <si>
    <t xml:space="preserve">EBITDA — Adjusted = EBIT + D&amp;A</t>
  </si>
  <si>
    <t xml:space="preserve">Total Debt</t>
  </si>
  <si>
    <t xml:space="preserve">Market Value of Equity = Price x Shares</t>
  </si>
  <si>
    <t xml:space="preserve">Enterprise Value = MVE + Debt - Cash</t>
  </si>
  <si>
    <t xml:space="preserve">FY2026E Net Income Available to Common (forward, from own model)</t>
  </si>
  <si>
    <t xml:space="preserve">FY2026E EPS (forward)</t>
  </si>
  <si>
    <t xml:space="preserve">3. VALUATION MULTIPLES — MKC (COMPARABLE)</t>
  </si>
  <si>
    <t xml:space="preserve">P/E (MKC, adjusted EPS)</t>
  </si>
  <si>
    <t xml:space="preserve">EV/EBITDA (MKC, adjusted)</t>
  </si>
  <si>
    <t xml:space="preserve">Note: KHC’s own P/E is not meaningful — both unadjusted and adjusted net income remain negative in FY2025 (the goodwill impairment is not backed out of the "adjusted" figure in the source data), so a P/E-based implied price cannot be computed off trailing KHC earnings. EV/EBITDA is used as the primary multiple, consistent with Point 5’s qualitative discussion. A secondary, forward-looking P/E check uses KHC’s own FY2026E forecast EPS (positive, since the forecast excludes non-recurring impairments) against MKC’s trailing P/E — an imperfect but directionally useful cross-check.</t>
  </si>
  <si>
    <t xml:space="preserve">4. IMPLIED KHC VALUE — MULTIPLES APPLIED</t>
  </si>
  <si>
    <t xml:space="preserve">Model</t>
  </si>
  <si>
    <t xml:space="preserve">Multiple</t>
  </si>
  <si>
    <t xml:space="preserve">KHC Metric</t>
  </si>
  <si>
    <t xml:space="preserve">Implied Value</t>
  </si>
  <si>
    <t xml:space="preserve">Implied Share Price</t>
  </si>
  <si>
    <t xml:space="preserve">EV/EBITDA (MKC multiple x KHC Adj. EBITDA)</t>
  </si>
  <si>
    <t xml:space="preserve">P/E, Trailing (MKC multiple x KHC Adj. EPS) — n/m, KHC EPS negative</t>
  </si>
  <si>
    <t xml:space="preserve">P/E, Forward (MKC trailing multiple x KHC FY2026E EPS) — secondary check</t>
  </si>
  <si>
    <t xml:space="preserve">Current KHC Market Price</t>
  </si>
  <si>
    <t xml:space="preserve">Implied Upside/(Downside) — EV/EBITDA Model</t>
  </si>
  <si>
    <t xml:space="preserve">Implied Upside/(Downside) — Forward P/E Model</t>
  </si>
  <si>
    <t xml:space="preserve">Takeaway: KHC trades at a discount to MKC on both an EV/EBITDA basis (applying MKC’s multiple to KHC’s own EBITDA implies meaningful upside from the current $25.37) and a forward P/E basis. This is directionally consistent with the FCFF/FCFE DCF results (Point 8), though the gap partly reflects MKC’s stronger growth outlook (Point 4) and higher quality/rating perception — not purely mispricing. See write-up for full discussion of drivers.</t>
  </si>
  <si>
    <t xml:space="preserve">Kraft Heinz Company (KHC) — Cash Flow Statement</t>
  </si>
  <si>
    <t xml:space="preserve">$ in millions | Rows 7-37: historical actual (as reported) | Rows 40-69: forecast, built indirectly from the forecasted Income Statement &amp; Balance Sheet</t>
  </si>
  <si>
    <t xml:space="preserve">HISTORICAL CASH FLOW STATEMENT (as reported)</t>
  </si>
  <si>
    <t xml:space="preserve">OPERATING ACTIVITIES</t>
  </si>
  <si>
    <t xml:space="preserve">Net Income (Consolidated)</t>
  </si>
  <si>
    <t xml:space="preserve">Add: Depreciation &amp; Amortization</t>
  </si>
  <si>
    <t xml:space="preserve">Add/(Less): Deferred Taxes</t>
  </si>
  <si>
    <t xml:space="preserve">Add: Other Non-Cash Items (incl. impairments)</t>
  </si>
  <si>
    <t xml:space="preserve">Change in Accounts Receivable</t>
  </si>
  <si>
    <t xml:space="preserve">Change in Inventories</t>
  </si>
  <si>
    <t xml:space="preserve">Change in Accounts Payable</t>
  </si>
  <si>
    <t xml:space="preserve">Change in Other Assets/Liabilities</t>
  </si>
  <si>
    <t xml:space="preserve">Net Cash from Operating Activities</t>
  </si>
  <si>
    <t xml:space="preserve">INVESTING ACTIVITIES</t>
  </si>
  <si>
    <t xml:space="preserve">Capital Expenditures</t>
  </si>
  <si>
    <t xml:space="preserve">Other Investing Activities, net (acquisitions/disposals/investments)</t>
  </si>
  <si>
    <t xml:space="preserve">Net Cash from Investing Activities</t>
  </si>
  <si>
    <t xml:space="preserve">FINANCING ACTIVITIES</t>
  </si>
  <si>
    <t xml:space="preserve">Common &amp; Preferred Dividends Paid</t>
  </si>
  <si>
    <t xml:space="preserve">Debt Issuance/(Repayment), Net</t>
  </si>
  <si>
    <t xml:space="preserve">Repurchase of Common Stock, Net</t>
  </si>
  <si>
    <t xml:space="preserve">Other Financing Activities, net</t>
  </si>
  <si>
    <t xml:space="preserve">Net Cash from Financing Activities</t>
  </si>
  <si>
    <t xml:space="preserve">Foreign Exchange Effect on Cash</t>
  </si>
  <si>
    <t xml:space="preserve">NET CHANGE IN CASH (as reported)</t>
  </si>
  <si>
    <t xml:space="preserve">Memo: Cash &amp; STI, Beginning of Year (Balance Sheet)</t>
  </si>
  <si>
    <t xml:space="preserve">Memo: Cash &amp; STI, End of Year (Balance Sheet)</t>
  </si>
  <si>
    <t xml:space="preserve">Memo: Implied Change per Balance Sheet</t>
  </si>
  <si>
    <t xml:space="preserve">Memo: Reported vs. BS-Implied Change, Difference</t>
  </si>
  <si>
    <t xml:space="preserve">Note: Small differences between the reported Net Change in Cash and the Balance Sheet-implied change are expected — the CF statement's cash definition can differ slightly from Cash &amp; Short-Term Investments (e.g., restricted cash, FX timing). This does not affect the forecast, which is self-consistent by construction below.</t>
  </si>
  <si>
    <t xml:space="preserve">FORECAST CASH FLOW STATEMENT (Indirect Method, per Topic 7)</t>
  </si>
  <si>
    <t xml:space="preserve">Add: Depreciation Expense</t>
  </si>
  <si>
    <t xml:space="preserve">Add: Amortization Expense</t>
  </si>
  <si>
    <t xml:space="preserve">Less: Increase in Accounts Receivable</t>
  </si>
  <si>
    <t xml:space="preserve">Less: Increase in Inventories</t>
  </si>
  <si>
    <t xml:space="preserve">Add: Increase in Accounts Payable</t>
  </si>
  <si>
    <t xml:space="preserve">Less: Increase in Other Current Assets</t>
  </si>
  <si>
    <t xml:space="preserve">Add: Increase in Other Current Liabilities</t>
  </si>
  <si>
    <t xml:space="preserve">Less: Capital Expenditures</t>
  </si>
  <si>
    <t xml:space="preserve">Change in ST Debt</t>
  </si>
  <si>
    <t xml:space="preserve">Change in LT Debt</t>
  </si>
  <si>
    <t xml:space="preserve">Less: Common Dividends Paid</t>
  </si>
  <si>
    <t xml:space="preserve">NET CHANGE IN CASH</t>
  </si>
  <si>
    <t xml:space="preserve">Beginning Cash &amp; Short-Term Investments Balance</t>
  </si>
  <si>
    <t xml:space="preserve">Ending Cash &amp; Short-Term Investments Balance</t>
  </si>
  <si>
    <t xml:space="preserve">CONSISTENCY CHECK (Requirement 3D)</t>
  </si>
  <si>
    <t xml:space="preserve">Cash &amp; STI per forecasted Balance Sheet</t>
  </si>
  <si>
    <t xml:space="preserve">Ending Cash &amp; STI per this Cash Flow Statement</t>
  </si>
  <si>
    <t xml:space="preserve">Difference (must = 0)</t>
  </si>
  <si>
    <t xml:space="preserve">FREE CASH FLOW &amp; RESIDUAL INCOME MEASURES (Topic 6E)</t>
  </si>
  <si>
    <t xml:space="preserve">$ in millions except per-share values | Black = same-sheet formula, Green = link to other sheet, Blue = input assumption</t>
  </si>
  <si>
    <t xml:space="preserve">Net Operating Profit After Tax (NOPAT) = EBIT x (1 - Tax Rate)</t>
  </si>
  <si>
    <t xml:space="preserve">   Memo: Invested Capital, end of year (ST Debt + LT Debt + Total Shareholders’ Equity)</t>
  </si>
  <si>
    <t xml:space="preserve">Free Cash Flow to the Firm (FCFF)</t>
  </si>
  <si>
    <t xml:space="preserve">   = Net Cash from Operating Activities + After-Tax Interest Expense + Capital Expenditures (already negative, row 53)</t>
  </si>
  <si>
    <t xml:space="preserve">Free Cash Flow to Equity (FCFE)</t>
  </si>
  <si>
    <t xml:space="preserve">   = FCFF - After-Tax Interest Expense + Net Borrowing (Change in ST Debt + Change in LT Debt)</t>
  </si>
  <si>
    <t xml:space="preserve">Residual Operating Income (ROPI)</t>
  </si>
  <si>
    <t xml:space="preserve">   = NOPAT - [WACC x Beginning-of-Year Invested Capital]</t>
  </si>
  <si>
    <t xml:space="preserve">Residual Income (RI)</t>
  </si>
  <si>
    <t xml:space="preserve">   = Net Income Available to Common - [Cost of Equity x Beginning-of-Year Book Value of Equity]</t>
  </si>
  <si>
    <t xml:space="preserve">TERMINAL VALUE ASSUMPTIONS (Topic 6E)</t>
  </si>
  <si>
    <t xml:space="preserve">Selected Terminal (Perpetuity) Growth Rate, g — applied to all four measures</t>
  </si>
  <si>
    <t xml:space="preserve">Rationale: KHC operates in a mature, low-growth packaged food industry (Point 2) and posted a negative net sales CAGR over FY2016-2025 (Point 4); 2.0% approximates long-run U.S. inflation/nominal GDP growth and is a conservative, standard terminal assumption for a defensive, ex-growth consumer staples business — well below the explicit forecast-period growth rate used on the Income Statement tab.</t>
  </si>
  <si>
    <t xml:space="preserve">Cost of Capital Inputs (linked from Cost of Capital (WACC) tab)</t>
  </si>
  <si>
    <t xml:space="preserve">   WACC (discount rate for FCFF and ROPI)</t>
  </si>
  <si>
    <t xml:space="preserve">   Cost of Equity (discount rate for FCFE and RI)</t>
  </si>
  <si>
    <t xml:space="preserve">Terminal Value as of FY2030 (Gordon Growth Model: TV = CF_2030 x (1+g) / (r - g))</t>
  </si>
  <si>
    <t xml:space="preserve">FY2030 Value</t>
  </si>
  <si>
    <t xml:space="preserve">Discount Rate</t>
  </si>
  <si>
    <t xml:space="preserve">Terminal Value (as of FY2030)</t>
  </si>
  <si>
    <t xml:space="preserve">FCFF</t>
  </si>
  <si>
    <t xml:space="preserve">FCFE</t>
  </si>
  <si>
    <t xml:space="preserve">ROPI</t>
  </si>
  <si>
    <t xml:space="preserve">RI</t>
  </si>
  <si>
    <t xml:space="preserve">Note: These terminal values feed directly into Point 8’s Discounted Cash Flow Valuation (PV of the explicit forecast period + PV of terminal value = implied Enterprise/Equity Value, then divided by shares outstanding for an implied share price per model).</t>
  </si>
  <si>
    <t xml:space="preserve">Kraft Heinz Company (KHC) — Cost of Capital Analysis</t>
  </si>
  <si>
    <t xml:space="preserve">$ in millions unless noted | Blue = hardcoded input/source data, Black = formula, Green = link to other sheet | Prepared for FIN4035 — Financial Markets Analysis</t>
  </si>
  <si>
    <t xml:space="preserve">All market data as of July 24-25, 2026 (see Sources tab for full citations)</t>
  </si>
  <si>
    <t xml:space="preserve">1. COST OF EQUITY</t>
  </si>
  <si>
    <t xml:space="preserve">1a. Risk-Free Rate</t>
  </si>
  <si>
    <t xml:space="preserve">Current 10-Year U.S. Treasury Yield (10Y UST)</t>
  </si>
  <si>
    <t xml:space="preserve">Source: FRED (DGS10) / Trading Economics, 10Y UST close, 7/24/2026</t>
  </si>
  <si>
    <t xml:space="preserve">1b. Equity Market Risk Premium (MRP)</t>
  </si>
  <si>
    <t xml:space="preserve">Historical MRP — Arithmetic avg., Stocks minus T.Bonds, 1928-2025</t>
  </si>
  <si>
    <t xml:space="preserve">Source: Damodaran, 'Data Update 2 for 2026' &amp; NYU Stern historical returns dataset (histretSP.xls). Verify exact decimal against the current-year download — figure is approximate/rounded from the 1928-2025 series.</t>
  </si>
  <si>
    <t xml:space="preserve">Implied MRP (forward-looking, model-agnostic, as of 1/1/2026)</t>
  </si>
  <si>
    <t xml:space="preserve">Source: Damodaran, 'Data Update 2 for 2026: A Testing Year (2025) for US Equities' (Jan 2026); implied ERP computed from S&amp;P 500 index level 6,845.5 on 1/1/2026, less 10Y UST bond rate.</t>
  </si>
  <si>
    <t xml:space="preserve">1c. Beta</t>
  </si>
  <si>
    <t xml:space="preserve">Historical Regression Beta (5-Year Monthly, vs. S&amp;P 500)</t>
  </si>
  <si>
    <t xml:space="preserve">Source: Yahoo Finance, KHC key statistics, Beta (5Y Monthly), accessed 7/25/2026. Unusually low — reflects KHC's defensive/low-volatility trading pattern and idiosyncratic events (spin-off news, impairments) decoupling the stock from broad market moves.</t>
  </si>
  <si>
    <t xml:space="preserve">Bottom-Up Beta Build</t>
  </si>
  <si>
    <t xml:space="preserve">Unlevered Beta — Food Processing industry (US, 78 firms)</t>
  </si>
  <si>
    <t xml:space="preserve">Source: Damodaran, 'Betas by Sector (US)', data as of January 2026 (pages.stern.nyu.edu/~adamodar/New_Home_Page/datafile/Betas.html) — Food Processing industry row.</t>
  </si>
  <si>
    <t xml:space="preserve">KHC Market Value of Equity ($mm)</t>
  </si>
  <si>
    <t xml:space="preserve">Source: Share price $25.37 x ~1,186mm diluted shares outstanding (Yahoo Finance / StockAnalysis.com, 7/23/2026).</t>
  </si>
  <si>
    <t xml:space="preserve">KHC Total Debt ($mm) — book value used as proxy for market value</t>
  </si>
  <si>
    <t xml:space="preserve">Source: StockAnalysis.com KHC statistics ($21.13B total debt, data as of 7/2/2026); consistent with FY2025 ST+LT debt of $21,772mm on the Balance Sheet tab.</t>
  </si>
  <si>
    <t xml:space="preserve">   KHC Debt-to-Equity Ratio (D/E)</t>
  </si>
  <si>
    <t xml:space="preserve">Marginal Tax Rate (blended federal + state, assumption)</t>
  </si>
  <si>
    <t xml:space="preserve">Assumption: 21% U.S. federal statutory rate plus ~4% blended state effective rate — standard assumption for a large multinational U.S. corporate issuer.</t>
  </si>
  <si>
    <t xml:space="preserve">Bottom-Up (Relevered) Beta = Unlevered Beta x [1 + (1-t) x D/E]</t>
  </si>
  <si>
    <t xml:space="preserve">1d. Revenue-Weighted Country Risk Premium (CRP)</t>
  </si>
  <si>
    <t xml:space="preserve">Region</t>
  </si>
  <si>
    <t xml:space="preserve">FY2025 Net Sales ($mm)</t>
  </si>
  <si>
    <t xml:space="preserve">% of Total Revenue</t>
  </si>
  <si>
    <t xml:space="preserve">Country Risk Premium</t>
  </si>
  <si>
    <t xml:space="preserve">Weighted CRP</t>
  </si>
  <si>
    <t xml:space="preserve">United States</t>
  </si>
  <si>
    <t xml:space="preserve">US — Aa1/AA sovereign rating, developed-market baseline</t>
  </si>
  <si>
    <t xml:space="preserve">Canada</t>
  </si>
  <si>
    <t xml:space="preserve">Canada — Aaa, zero country risk premium</t>
  </si>
  <si>
    <t xml:space="preserve">United Kingdom</t>
  </si>
  <si>
    <t xml:space="preserve">UK — Aa3 sovereign rating</t>
  </si>
  <si>
    <t xml:space="preserve">Rest of World (Intl. Developed + Emerging Mkts.)</t>
  </si>
  <si>
    <t xml:space="preserve">Blended estimate: mix of developed Europe/Pacific (Italy, Netherlands, Australia, NZ) and emerging markets (Brazil, Indonesia, India, etc.) per Damodaran country CRP table — approximation; exact country-level revenue split not separately disclosed in the 10-K.</t>
  </si>
  <si>
    <t xml:space="preserve">Total FY2025 Net Sales</t>
  </si>
  <si>
    <t xml:space="preserve">Source: Bullfincher.io / KHC 10-K Note 21 Segment Reporting, FY2025 net sales by region (US $16.78B, Canada $1.80B, UK $1.27B, Rest of World $5.09B).</t>
  </si>
  <si>
    <t xml:space="preserve">Revenue-Weighted Country Risk Premium</t>
  </si>
  <si>
    <t xml:space="preserve">1e. Cost of Equity — CAPM</t>
  </si>
  <si>
    <t xml:space="preserve">Ke = Rf + Beta x MRP + Country Risk Premium</t>
  </si>
  <si>
    <t xml:space="preserve">Historical MRP</t>
  </si>
  <si>
    <t xml:space="preserve">Implied MRP</t>
  </si>
  <si>
    <t xml:space="preserve">Ke, using Historical Regression Beta</t>
  </si>
  <si>
    <t xml:space="preserve">Ke, using Bottom-Up (Relevered) Beta</t>
  </si>
  <si>
    <t xml:space="preserve">SELECTED Cost of Equity: Bottom-Up Beta x Implied MRP. The bottom-up beta (from ~78 food-processing peers) is far less noisy than KHC's own low/unstable regression beta (0.08), and the implied ERP is the forward-looking, model-agnostic estimate Damodaran himself recommends over the backward-looking historical average.</t>
  </si>
  <si>
    <t xml:space="preserve">SELECTED Cost of Equity (Ke)</t>
  </si>
  <si>
    <t xml:space="preserve">2. COST OF DEBT</t>
  </si>
  <si>
    <t xml:space="preserve">KHC Long-Term Debt Ratings</t>
  </si>
  <si>
    <t xml:space="preserve">Current Senior Unsecured Ratings (Moody's / S&amp;P / Fitch)</t>
  </si>
  <si>
    <t xml:space="preserve">Baa2 / BBB / BBB</t>
  </si>
  <si>
    <t xml:space="preserve">Source: Kraft Heinz Foods Company FWP, SEC filing, May 2026 pricing term sheet (2031/2034 EUR notes); ratings stable across agencies as of mid-2026.</t>
  </si>
  <si>
    <t xml:space="preserve">2a-e. Estimates of KHC's Current Borrowing Cost</t>
  </si>
  <si>
    <t xml:space="preserve">Method</t>
  </si>
  <si>
    <t xml:space="preserve">Pretax Cost of Debt</t>
  </si>
  <si>
    <t xml:space="preserve">(a) Corporate Bond YTM — KHC 3.75% Senior Notes due 4/1/2030</t>
  </si>
  <si>
    <t xml:space="preserve">Source: Public.com bond screener, KHC 3.75% 4/1/2030 note, market YTM as of 7/2026.</t>
  </si>
  <si>
    <t xml:space="preserve">(b) Comparable Bond YTM — McCormick &amp; Co. (Baa2/BBB), average across outstanding notes/bonds</t>
  </si>
  <si>
    <t xml:space="preserve">Source: McCormick &amp; Co. outstanding notes/bonds, average YTM across issues (course-provided Comp file, FactSet/Bloomberg bond data, accessed 7/27/2026); used as a similarly-rated (Baa2/BBB) food-sector peer.</t>
  </si>
  <si>
    <t xml:space="preserve">   Baa2/BBB Default Spread (large-cap, non-financial, over 10Y UST)</t>
  </si>
  <si>
    <t xml:space="preserve">Source: Damodaran, 'Ratings, Interest Coverage Ratios and Default Spread' table, data as of January 2026 — Baa2/BBB row (interest coverage 2.50x-2.999x bracket), spread = 1.11%.</t>
  </si>
  <si>
    <t xml:space="preserve">(c) Credit-Rating Approach: Rf + Baa2/BBB Default Spread</t>
  </si>
  <si>
    <t xml:space="preserve">   Synthetic Rating Build:</t>
  </si>
  <si>
    <t xml:space="preserve">   Adjusted (Normalized) EBIT, FY2025 ($mm, excl. non-cash impairment)</t>
  </si>
  <si>
    <t xml:space="preserve">Source: KHC Q4/FY2025 Earnings Release (2/11/2026) — Adjusted Operating Income FY2025 = $4.7B, excluding $9.3B non-cash impairment losses.</t>
  </si>
  <si>
    <t xml:space="preserve">   FY2025 Net Interest Expense ($mm)</t>
  </si>
  <si>
    <t xml:space="preserve">Source: Yahoo Finance KHC income-statement history, FY2025 net non-operating interest expense.</t>
  </si>
  <si>
    <t xml:space="preserve">   Interest Coverage Ratio (EBIT / Interest Expense)</t>
  </si>
  <si>
    <t xml:space="preserve">   Synthetic Rating Default Spread (coverage 4.25x-5.499x -&gt; A2/A)</t>
  </si>
  <si>
    <t xml:space="preserve">Source: Damodaran ratings/coverage table, Jan 2026 (same source as row above) — A2/A bracket applies at KHC's ~5.3x coverage ratio; spread = 0.78%.</t>
  </si>
  <si>
    <t xml:space="preserve">(d) Synthetic-Rating Approach: Rf + Synthetic Spread</t>
  </si>
  <si>
    <t xml:space="preserve">Note: the synthetic rating (~A2/A) is more favorable than KHC's actual agency rating (Baa2/BBB) because the interest-coverage formula ignores qualitative/structural factors agencies weigh (financial policy, event risk from the paused separation plan, brand/goodwill impairment history). The credit-rating approach (c) is more reliable here.</t>
  </si>
  <si>
    <t xml:space="preserve">   Total Debt, FY2025 year-end ($mm) (ST + LT Debt)</t>
  </si>
  <si>
    <t xml:space="preserve">Source: Balance Sheet tab, this workbook — FY2025 ST Debt ($2,034mm) + LT Debt ($19,738mm).</t>
  </si>
  <si>
    <t xml:space="preserve">(e) Historical Effective Interest Rate = Interest Expense / Total Debt</t>
  </si>
  <si>
    <t xml:space="preserve">Summary of Pretax Cost of Debt Estimates</t>
  </si>
  <si>
    <t xml:space="preserve">Pretax Kd</t>
  </si>
  <si>
    <t xml:space="preserve">(a) Corporate Bond YTM</t>
  </si>
  <si>
    <t xml:space="preserve">(b) Comparable Bond YTM</t>
  </si>
  <si>
    <t xml:space="preserve">(c) Credit-Rating Approach</t>
  </si>
  <si>
    <t xml:space="preserve">(d) Synthetic-Rating Approach</t>
  </si>
  <si>
    <t xml:space="preserve">(e) Historical Effective Interest Rate</t>
  </si>
  <si>
    <t xml:space="preserve">Average of the 5 Estimates</t>
  </si>
  <si>
    <t xml:space="preserve">SELECTED Pretax Cost of Debt (Kd)</t>
  </si>
  <si>
    <t xml:space="preserve">SELECTED: the Credit-Rating Approach, because it is anchored to KHC's actual, agency-assigned Baa2/BBB/BBB rating rather than a backward-looking coupon (a), a single peer's issuance yield (b), or a coverage-ratio formula (d) that overstates credit quality here given the company's recent impairments and paused separation. It is also very close to the corporate-bond-YTM (a) and comparable-bond-YTM (b) market checks, which cross-validate it.</t>
  </si>
  <si>
    <t xml:space="preserve">3. WEIGHTED AVERAGE COST OF CAPITAL (WACC)</t>
  </si>
  <si>
    <t xml:space="preserve">3a. Capital Structure (Market Values)</t>
  </si>
  <si>
    <t xml:space="preserve">Market Value of Equity (E), $mm</t>
  </si>
  <si>
    <t xml:space="preserve">Linked from Section 1c above (Section 4 has full source detail).</t>
  </si>
  <si>
    <t xml:space="preserve">Market Value of Debt (D), $mm — book value used as proxy</t>
  </si>
  <si>
    <t xml:space="preserve">Book value is a reasonable proxy for market value here: KHC's bonds trade close to par (see the 3.75% 2030 note priced at a 4.44% YTM vs. its 3.75% coupon — a modest discount, not a material market/book gap).</t>
  </si>
  <si>
    <t xml:space="preserve">Total Capital (V = E + D), $mm</t>
  </si>
  <si>
    <t xml:space="preserve">Weight of Equity (E/V)</t>
  </si>
  <si>
    <t xml:space="preserve">Weight of Debt (D/V)</t>
  </si>
  <si>
    <t xml:space="preserve">3b. WACC Calculation</t>
  </si>
  <si>
    <t xml:space="preserve">Cost of Equity (Ke) — selected, from Section 1e</t>
  </si>
  <si>
    <t xml:space="preserve">Pretax Cost of Debt (Kd) — selected, from Section 2</t>
  </si>
  <si>
    <t xml:space="preserve">Marginal Tax Rate</t>
  </si>
  <si>
    <t xml:space="preserve">After-Tax Cost of Debt = Kd x (1 - t)</t>
  </si>
  <si>
    <t xml:space="preserve">WACC = (E/V) x Ke  +  (D/V) x Kd x (1-t)</t>
  </si>
  <si>
    <t xml:space="preserve">4. SOURCES &amp; CITATIONS</t>
  </si>
  <si>
    <t xml:space="preserve">• Comparable bond YTM: McCormick &amp; Co. (MKC), Baa2/BBB senior unsecured, average YTM across outstanding notes/bonds (course-provided Comp file, FactSet/Bloomberg bond data). Accessed 7/27/2026.</t>
  </si>
  <si>
    <t xml:space="preserve">• Historical &amp; Implied Equity Risk Premium: Aswath Damodaran (NYU Stern), 'Data Update 2 for 2026: A Testing Year (2025) for US Equities,' Musings on Markets blog, January 2026; NYU Stern historical returns dataset (histretSP.xls) and historical implied ERP dataset (histimpl.xls), pages.stern.nyu.edu/~adamodar.</t>
  </si>
  <si>
    <t xml:space="preserve">• Historical Regression Beta: Yahoo Finance, The Kraft Heinz Company (KHC) key statistics page, Beta (5Y Monthly). Cross-checked against StockAnalysis.com and MarketBeat/Defense World, all showing ~0.08-0.09. Accessed 7/25/2026.</t>
  </si>
  <si>
    <t xml:space="preserve">• Food Processing Industry Unlevered Beta: Aswath Damodaran, 'Betas by Sector (US),' data as of January 2026, pages.stern.nyu.edu/~adamodar/New_Home_Page/datafile/Betas.html.</t>
  </si>
  <si>
    <t xml:space="preserve">• KHC Market Value of Equity / Shares Outstanding: Yahoo Finance and StockAnalysis.com, KHC quote pages, week of 7/23/2026 ($25.37/share x ~1,186mm diluted shares).</t>
  </si>
  <si>
    <t xml:space="preserve">• KHC Total Debt: StockAnalysis.com, KHC Statistics &amp; Valuation page ($21.13B total debt, data as of 7/2/2026); Balance Sheet tab (this workbook), FY2025 ST + LT Debt.</t>
  </si>
  <si>
    <t xml:space="preserve">• Country Risk Premiums: Aswath Damodaran, 'Country Default Spreads and Risk Premiums,' data as of January 2026, pages.stern.nyu.edu/~adamodar/New_Home_Page/datafile/ctryprem.html.</t>
  </si>
  <si>
    <t xml:space="preserve">• KHC Revenue by Region (FY2025): Bullfincher.io company profile (sourced from KHC 10-K, Note 21, Segment Reporting) — US $16.78B, Canada $1.80B, UK $1.27B, Rest of World $5.09B.</t>
  </si>
  <si>
    <t xml:space="preserve">• KHC Credit Ratings: Kraft Heinz Foods Company, Free Writing Prospectus (FWP), SEC EDGAR filing, May 2026 (EUR notes due 2031/2034 pricing term sheet) — Baa2 (Moody's) / BBB (S&amp;P) / BBB (Fitch).</t>
  </si>
  <si>
    <t xml:space="preserve">• KHC Corporate Bond YTM: Public.com bond screener, KHC 3.75% Senior Notes due 4/1/2030.</t>
  </si>
  <si>
    <t xml:space="preserve">• Comparable Bond YTM: McCormick &amp; Company, Incorporated (MKC), Baa2/BBB senior unsecured, average YTM across outstanding notes/bonds (FIN4035_2026Summer_Comp.xlsx, "Comp - Bond YTM" tab, course-provided, FactSet/Bloomberg bond data, accessed 7/27/2026).</t>
  </si>
  <si>
    <t xml:space="preserve">• Synthetic Rating / Default Spread Table: Aswath Damodaran, 'Ratings, Interest Coverage Ratios and Default Spread,' data as of January 2026, pages.stern.nyu.edu/~adamodar/New_Home_Page/datafile/ratings.html.</t>
  </si>
  <si>
    <t xml:space="preserve">• KHC Adjusted EBIT &amp; Interest Expense: Kraft Heinz Company, Q4 &amp; Full Year 2025 Earnings Release, February 11, 2026; Yahoo Finance KHC income statement history.</t>
  </si>
  <si>
    <t xml:space="preserve">• AI Disclosure: Portions of this cost-of-capital analysis (data retrieval, synthesis into the WACC framework, and Excel formula construction) were prepared with the assistance of Claude (Anthropic), per course policy. All figures were fact-checked against the primary sources listed above; the student is responsible for the accuracy of the final submission.</t>
  </si>
  <si>
    <t xml:space="preserve">Kraft Heinz Company (KHC) — Discounted Cash Flow Valuation (Point 8)</t>
  </si>
  <si>
    <t xml:space="preserve">$ in millions except per-share values | PV of explicit FY2026-2030 forecast + PV of terminal value, discounted at WACC (FCFF, ROPI) or Cost of Equity (FCFE, RI) | Black = same-sheet formula, Green = link to other sheet, Blue = input assumption</t>
  </si>
  <si>
    <t xml:space="preserve">1. DISCOUNTING ASSUMPTIONS</t>
  </si>
  <si>
    <t xml:space="preserve">Forecast Year</t>
  </si>
  <si>
    <t xml:space="preserve">Discount Period (t)</t>
  </si>
  <si>
    <t xml:space="preserve">WACC (discount rate — FCFF &amp; ROPI models)</t>
  </si>
  <si>
    <t xml:space="preserve">Cost of Equity, Ke (discount rate — FCFE &amp; RI models)</t>
  </si>
  <si>
    <t xml:space="preserve">Terminal (Perpetuity) Growth Rate, g</t>
  </si>
  <si>
    <t xml:space="preserve">2. BALANCE SHEET ANCHORS (FY2025 year-end = beginning of forecast)</t>
  </si>
  <si>
    <t xml:space="preserve">Invested Capital, FY2025 (ST Debt + LT Debt + Total Shareholders' Equity)</t>
  </si>
  <si>
    <t xml:space="preserve">Book Value of Common Equity, FY2025</t>
  </si>
  <si>
    <t xml:space="preserve">Total Debt, FY2025 (ST Debt + LT Debt)</t>
  </si>
  <si>
    <t xml:space="preserve">Cash &amp; Short-Term Investments, FY2025</t>
  </si>
  <si>
    <t xml:space="preserve">Net Debt = Total Debt − Cash &amp; ST Investments</t>
  </si>
  <si>
    <t xml:space="preserve">Shares Outstanding, held constant FY2026-2030 (mm)</t>
  </si>
  <si>
    <t xml:space="preserve">Current Market Price per Share (7/23/2026)</t>
  </si>
  <si>
    <t xml:space="preserve">3. FREE CASH FLOW TO THE FIRM (FCFF) MODEL — Enterprise Value Approach</t>
  </si>
  <si>
    <t xml:space="preserve">FCFF ($mm)</t>
  </si>
  <si>
    <t xml:space="preserve">Discount Factor = 1 / (1 + WACC)^t</t>
  </si>
  <si>
    <t xml:space="preserve">PV of FCFF ($mm)</t>
  </si>
  <si>
    <t xml:space="preserve">PV of Explicit FCFF, FY2026-2030 ($mm)</t>
  </si>
  <si>
    <t xml:space="preserve">Terminal Value as of FY2030, Gordon Growth ($mm)</t>
  </si>
  <si>
    <t xml:space="preserve">PV of Terminal Value = TV / (1 + WACC)^5 ($mm)</t>
  </si>
  <si>
    <t xml:space="preserve">Enterprise Value = PV(FCFF) + PV(TV) ($mm)</t>
  </si>
  <si>
    <t xml:space="preserve">Less: Net Debt ($mm)</t>
  </si>
  <si>
    <t xml:space="preserve">Implied Equity Value ($mm)</t>
  </si>
  <si>
    <t xml:space="preserve">Divided by: Shares Outstanding (mm)</t>
  </si>
  <si>
    <t xml:space="preserve">Implied Share Price — FCFF Model</t>
  </si>
  <si>
    <t xml:space="preserve">Current Market Price</t>
  </si>
  <si>
    <t xml:space="preserve">Implied Upside / (Downside) vs. Market</t>
  </si>
  <si>
    <t xml:space="preserve">4. FREE CASH FLOW TO EQUITY (FCFE) MODEL — Direct Equity Value Approach</t>
  </si>
  <si>
    <t xml:space="preserve">FCFE ($mm)</t>
  </si>
  <si>
    <t xml:space="preserve">Discount Factor = 1 / (1 + Ke)^t</t>
  </si>
  <si>
    <t xml:space="preserve">PV of FCFE ($mm)</t>
  </si>
  <si>
    <t xml:space="preserve">PV of Explicit FCFE, FY2026-2030 ($mm)</t>
  </si>
  <si>
    <t xml:space="preserve">PV of Terminal Value = TV / (1 + Ke)^5 ($mm)</t>
  </si>
  <si>
    <t xml:space="preserve">Implied Equity Value = PV(FCFE) + PV(TV) ($mm)</t>
  </si>
  <si>
    <t xml:space="preserve">Implied Share Price — FCFE Model</t>
  </si>
  <si>
    <t xml:space="preserve">5. RESIDUAL OPERATING INCOME (ROPI) MODEL — Enterprise Value Approach</t>
  </si>
  <si>
    <t xml:space="preserve">ROPI ($mm)</t>
  </si>
  <si>
    <t xml:space="preserve">PV of ROPI ($mm)</t>
  </si>
  <si>
    <t xml:space="preserve">PV of Explicit ROPI, FY2026-2030 ($mm)</t>
  </si>
  <si>
    <t xml:space="preserve">Beginning Invested Capital, FY2025 ($mm)</t>
  </si>
  <si>
    <t xml:space="preserve">Value of Operating Assets = IC + PV(ROPI) + PV(TV) ($mm)</t>
  </si>
  <si>
    <t xml:space="preserve">Implied Share Price — ROPI Model</t>
  </si>
  <si>
    <t xml:space="preserve">6. RESIDUAL INCOME (RI) MODEL — Equity Value Approach</t>
  </si>
  <si>
    <t xml:space="preserve">RI ($mm)</t>
  </si>
  <si>
    <t xml:space="preserve">PV of RI ($mm)</t>
  </si>
  <si>
    <t xml:space="preserve">PV of Explicit RI, FY2026-2030 ($mm)</t>
  </si>
  <si>
    <t xml:space="preserve">Beginning Book Value of Common Equity, FY2025 ($mm)</t>
  </si>
  <si>
    <t xml:space="preserve">Implied Equity Value = BVE + PV(RI) + PV(TV) ($mm)</t>
  </si>
  <si>
    <t xml:space="preserve">Implied Share Price — RI Model</t>
  </si>
  <si>
    <t xml:space="preserve">7. SUMMARY — IMPLIED SHARE PRICE BY MODEL vs. MARKET PRICE</t>
  </si>
  <si>
    <t xml:space="preserve">Discount Rate Used</t>
  </si>
  <si>
    <t xml:space="preserve">Upside / (Downside)</t>
  </si>
  <si>
    <t xml:space="preserve">Signal</t>
  </si>
  <si>
    <t xml:space="preserve">FCFF (Enterprise Value)</t>
  </si>
  <si>
    <t xml:space="preserve">FCFE (Equity Value)</t>
  </si>
  <si>
    <t xml:space="preserve">ROPI (Enterprise Value)</t>
  </si>
  <si>
    <t xml:space="preserve">RI (Equity Value)</t>
  </si>
  <si>
    <t xml:space="preserve">Note: FCFF and FCFE imply meaningful undervaluation, driven largely by the terminal value — the 6.66% WACC vs. 2.0% terminal growth spread (4.66pp) is narrow and produces a high terminal multiple (~21.4x FY2030 cash flow), so results are sensitive to that spread.</t>
  </si>
  <si>
    <t xml:space="preserve">ROPI and RI are negative and worsening every forecast year (value-destructive at the margin), yet both models still imply a price above market because the large existing capital base (IC $63,436mm / BVE $41,664mm) outweighs five years of negative residual income. This is a legitimate, formula-driven result, not an error — but it means the "trusted model" choice for Point 9 should be argued on which base (capital-heavy vs. cash-flow-only) and which discount-rate spread you find most defensible, not on which one confirms the qualitative Sell lean.</t>
  </si>
</sst>
</file>

<file path=xl/styles.xml><?xml version="1.0" encoding="utf-8"?>
<styleSheet xmlns="http://schemas.openxmlformats.org/spreadsheetml/2006/main">
  <numFmts count="15">
    <numFmt numFmtId="164" formatCode="General"/>
    <numFmt numFmtId="165" formatCode="@"/>
    <numFmt numFmtId="166" formatCode="#,##0;\(#,##0\);\-"/>
    <numFmt numFmtId="167" formatCode="0.0%;\(0.0%\);\-"/>
    <numFmt numFmtId="168" formatCode="0.00"/>
    <numFmt numFmtId="169" formatCode="\$#,##0.00;&quot;($&quot;#,##0.00\);\-"/>
    <numFmt numFmtId="170" formatCode="0.00\x"/>
    <numFmt numFmtId="171" formatCode="0.0%"/>
    <numFmt numFmtId="172" formatCode="0.000"/>
    <numFmt numFmtId="173" formatCode="0.00%"/>
    <numFmt numFmtId="174" formatCode="\$#,##0.00"/>
    <numFmt numFmtId="175" formatCode="#,##0"/>
    <numFmt numFmtId="176" formatCode="\$#,##0"/>
    <numFmt numFmtId="177" formatCode="0.000\x"/>
    <numFmt numFmtId="178" formatCode="0.0000"/>
  </numFmts>
  <fonts count="31">
    <font>
      <sz val="11"/>
      <color theme="1"/>
      <name val="Calibri"/>
      <family val="2"/>
      <charset val="1"/>
    </font>
    <font>
      <sz val="10"/>
      <name val="Arial"/>
      <family val="0"/>
    </font>
    <font>
      <sz val="10"/>
      <name val="Arial"/>
      <family val="0"/>
    </font>
    <font>
      <sz val="10"/>
      <name val="Arial"/>
      <family val="0"/>
    </font>
    <font>
      <b val="true"/>
      <sz val="14"/>
      <name val="Cambria"/>
      <family val="1"/>
      <charset val="1"/>
    </font>
    <font>
      <sz val="11"/>
      <name val="Cambria"/>
      <family val="1"/>
      <charset val="1"/>
    </font>
    <font>
      <b val="true"/>
      <i val="true"/>
      <sz val="11"/>
      <name val="Cambria"/>
      <family val="1"/>
      <charset val="1"/>
    </font>
    <font>
      <b val="true"/>
      <sz val="11"/>
      <name val="Cambria"/>
      <family val="1"/>
      <charset val="1"/>
    </font>
    <font>
      <b val="true"/>
      <sz val="11"/>
      <color rgb="FF0000FF"/>
      <name val="Cambria"/>
      <family val="1"/>
      <charset val="1"/>
    </font>
    <font>
      <sz val="11"/>
      <color rgb="FF0000FF"/>
      <name val="Cambria"/>
      <family val="1"/>
      <charset val="1"/>
    </font>
    <font>
      <sz val="11"/>
      <color rgb="FF000000"/>
      <name val="Cambria"/>
      <family val="1"/>
      <charset val="1"/>
    </font>
    <font>
      <i val="true"/>
      <sz val="11"/>
      <name val="Cambria"/>
      <family val="1"/>
      <charset val="1"/>
    </font>
    <font>
      <sz val="11"/>
      <color rgb="FF008000"/>
      <name val="Cambria"/>
      <family val="1"/>
      <charset val="1"/>
    </font>
    <font>
      <sz val="11"/>
      <color rgb="FF000000"/>
      <name val="Cambria"/>
      <family val="0"/>
      <charset val="1"/>
    </font>
    <font>
      <b val="true"/>
      <sz val="14"/>
      <color rgb="FF000000"/>
      <name val="Cambria"/>
      <family val="0"/>
      <charset val="1"/>
    </font>
    <font>
      <sz val="10"/>
      <color rgb="FF808080"/>
      <name val="Cambria"/>
      <family val="0"/>
      <charset val="1"/>
    </font>
    <font>
      <b val="true"/>
      <sz val="11"/>
      <color rgb="FF008000"/>
      <name val="Cambria"/>
      <family val="0"/>
      <charset val="1"/>
    </font>
    <font>
      <b val="true"/>
      <sz val="11"/>
      <color rgb="FF000000"/>
      <name val="Cambria"/>
      <family val="0"/>
      <charset val="1"/>
    </font>
    <font>
      <sz val="11"/>
      <color rgb="FF008000"/>
      <name val="Cambria"/>
      <family val="0"/>
      <charset val="1"/>
    </font>
    <font>
      <i val="true"/>
      <sz val="9"/>
      <color rgb="FF808080"/>
      <name val="Cambria"/>
      <family val="0"/>
      <charset val="1"/>
    </font>
    <font>
      <sz val="11"/>
      <color rgb="FF0000FF"/>
      <name val="Cambria"/>
      <family val="0"/>
      <charset val="1"/>
    </font>
    <font>
      <i val="true"/>
      <sz val="10"/>
      <color rgb="FF808080"/>
      <name val="Cambria"/>
      <family val="1"/>
      <charset val="1"/>
    </font>
    <font>
      <b val="true"/>
      <sz val="11"/>
      <color rgb="FF000000"/>
      <name val="Cambria"/>
      <family val="1"/>
      <charset val="1"/>
    </font>
    <font>
      <i val="true"/>
      <sz val="11"/>
      <color rgb="FF808080"/>
      <name val="Cambria"/>
      <family val="1"/>
      <charset val="1"/>
    </font>
    <font>
      <i val="true"/>
      <sz val="9"/>
      <color rgb="FF1155CC"/>
      <name val="Cambria"/>
      <family val="1"/>
      <charset val="1"/>
    </font>
    <font>
      <i val="true"/>
      <sz val="9"/>
      <color rgb="FF808080"/>
      <name val="Cambria"/>
      <family val="1"/>
      <charset val="1"/>
    </font>
    <font>
      <i val="true"/>
      <sz val="9"/>
      <color rgb="FF1155CC"/>
      <name val="Cambria"/>
      <family val="0"/>
      <charset val="1"/>
    </font>
    <font>
      <b val="true"/>
      <sz val="13"/>
      <color rgb="FF000000"/>
      <name val="Cambria"/>
      <family val="1"/>
      <charset val="1"/>
    </font>
    <font>
      <b val="true"/>
      <sz val="13"/>
      <name val="Cambria"/>
      <family val="1"/>
      <charset val="1"/>
    </font>
    <font>
      <sz val="10"/>
      <name val="Cambria"/>
      <family val="1"/>
      <charset val="1"/>
    </font>
    <font>
      <sz val="10"/>
      <name val="Cambria"/>
      <family val="0"/>
      <charset val="1"/>
    </font>
  </fonts>
  <fills count="6">
    <fill>
      <patternFill patternType="none"/>
    </fill>
    <fill>
      <patternFill patternType="gray125"/>
    </fill>
    <fill>
      <patternFill patternType="solid">
        <fgColor rgb="FFD9D9D9"/>
        <bgColor rgb="FFC6E0B4"/>
      </patternFill>
    </fill>
    <fill>
      <patternFill patternType="solid">
        <fgColor rgb="FFFFF2CC"/>
        <bgColor rgb="FFF2F2F2"/>
      </patternFill>
    </fill>
    <fill>
      <patternFill patternType="solid">
        <fgColor rgb="FFF2F2F2"/>
        <bgColor rgb="FFFFF2CC"/>
      </patternFill>
    </fill>
    <fill>
      <patternFill patternType="solid">
        <fgColor rgb="FFC6E0B4"/>
        <bgColor rgb="FFD9D9D9"/>
      </patternFill>
    </fill>
  </fills>
  <borders count="3">
    <border diagonalUp="false" diagonalDown="false">
      <left/>
      <right/>
      <top/>
      <bottom/>
      <diagonal/>
    </border>
    <border diagonalUp="false" diagonalDown="false">
      <left/>
      <right/>
      <top style="thin">
        <color rgb="FF999999"/>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1"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1"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6" fontId="10"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0" fontId="10" fillId="3"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71" fontId="18"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73" fontId="13" fillId="0" borderId="0" xfId="0" applyFont="true" applyBorder="false" applyAlignment="true" applyProtection="false">
      <alignment horizontal="general" vertical="bottom" textRotation="0" wrapText="false" indent="0" shrinkToFit="false"/>
      <protection locked="true" hidden="false"/>
    </xf>
    <xf numFmtId="173" fontId="20"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4" fontId="20" fillId="0" borderId="0" xfId="0" applyFont="true" applyBorder="false" applyAlignment="true" applyProtection="false">
      <alignment horizontal="general" vertical="bottom" textRotation="0" wrapText="false" indent="0" shrinkToFit="false"/>
      <protection locked="true" hidden="false"/>
    </xf>
    <xf numFmtId="175" fontId="18" fillId="0" borderId="0" xfId="0" applyFont="true" applyBorder="false" applyAlignment="true" applyProtection="false">
      <alignment horizontal="general" vertical="bottom" textRotation="0" wrapText="false" indent="0" shrinkToFit="false"/>
      <protection locked="true" hidden="false"/>
    </xf>
    <xf numFmtId="175" fontId="20" fillId="0" borderId="0" xfId="0" applyFont="true" applyBorder="false" applyAlignment="true" applyProtection="false">
      <alignment horizontal="general" vertical="bottom" textRotation="0" wrapText="fals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74" fontId="17" fillId="3" borderId="0" xfId="0" applyFont="true" applyBorder="false" applyAlignment="true" applyProtection="false">
      <alignment horizontal="general" vertical="bottom" textRotation="0" wrapText="false" indent="0" shrinkToFit="false"/>
      <protection locked="true" hidden="false"/>
    </xf>
    <xf numFmtId="174" fontId="13"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6" fontId="22" fillId="3"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6" fontId="12" fillId="3" borderId="0" xfId="0" applyFont="true" applyBorder="false" applyAlignment="tru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general" vertical="bottom" textRotation="0" wrapText="false" indent="0" shrinkToFit="false"/>
      <protection locked="true" hidden="false"/>
    </xf>
    <xf numFmtId="173" fontId="12" fillId="0"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6" fontId="9"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2" fontId="10" fillId="3" borderId="0" xfId="0" applyFont="true" applyBorder="false" applyAlignment="tru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76" fontId="9" fillId="0" borderId="2" xfId="0" applyFont="true" applyBorder="true" applyAlignment="true" applyProtection="false">
      <alignment horizontal="general" vertical="bottom" textRotation="0" wrapText="false" indent="0" shrinkToFit="false"/>
      <protection locked="true" hidden="false"/>
    </xf>
    <xf numFmtId="171" fontId="10" fillId="0" borderId="2" xfId="0" applyFont="true" applyBorder="true" applyAlignment="true" applyProtection="false">
      <alignment horizontal="general" vertical="bottom" textRotation="0" wrapText="false" indent="0" shrinkToFit="false"/>
      <protection locked="true" hidden="false"/>
    </xf>
    <xf numFmtId="173" fontId="9" fillId="0" borderId="2" xfId="0" applyFont="true" applyBorder="true" applyAlignment="true" applyProtection="false">
      <alignment horizontal="general" vertical="bottom" textRotation="0" wrapText="false" indent="0" shrinkToFit="false"/>
      <protection locked="true" hidden="false"/>
    </xf>
    <xf numFmtId="173" fontId="10" fillId="0" borderId="2"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76" fontId="10" fillId="0" borderId="2" xfId="0" applyFont="true" applyBorder="true" applyAlignment="true" applyProtection="false">
      <alignment horizontal="general" vertical="bottom" textRotation="0" wrapText="false" indent="0" shrinkToFit="false"/>
      <protection locked="true" hidden="false"/>
    </xf>
    <xf numFmtId="173" fontId="10" fillId="3"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73" fontId="10" fillId="3" borderId="2"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73" fontId="20" fillId="0" borderId="2"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77" fontId="10" fillId="0" borderId="0" xfId="0" applyFont="true" applyBorder="false" applyAlignment="true" applyProtection="false">
      <alignment horizontal="general" vertical="bottom" textRotation="0" wrapText="false" indent="0" shrinkToFit="false"/>
      <protection locked="true" hidden="false"/>
    </xf>
    <xf numFmtId="176" fontId="10" fillId="0" borderId="0" xfId="0" applyFont="true" applyBorder="false" applyAlignment="true" applyProtection="false">
      <alignment horizontal="general" vertical="bottom" textRotation="0" wrapText="false" indent="0" shrinkToFit="false"/>
      <protection locked="true" hidden="false"/>
    </xf>
    <xf numFmtId="164" fontId="27" fillId="5" borderId="0" xfId="0" applyFont="true" applyBorder="false" applyAlignment="true" applyProtection="false">
      <alignment horizontal="general" vertical="bottom" textRotation="0" wrapText="false" indent="0" shrinkToFit="false"/>
      <protection locked="true" hidden="false"/>
    </xf>
    <xf numFmtId="173" fontId="28"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3" fontId="18" fillId="0" borderId="0" xfId="0" applyFont="true" applyBorder="false" applyAlignment="true" applyProtection="false">
      <alignment horizontal="general" vertical="bottom" textRotation="0" wrapText="false" indent="0" shrinkToFit="false"/>
      <protection locked="true" hidden="false"/>
    </xf>
    <xf numFmtId="178" fontId="13" fillId="0" borderId="0" xfId="0" applyFont="true" applyBorder="false" applyAlignment="true" applyProtection="false">
      <alignment horizontal="general" vertical="bottom" textRotation="0" wrapText="false" indent="0" shrinkToFit="false"/>
      <protection locked="true" hidden="false"/>
    </xf>
    <xf numFmtId="175"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46"/>
    <col collapsed="false" customWidth="true" hidden="false" outlineLevel="0" max="17" min="2" style="1" width="11"/>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B3" s="4" t="s">
        <v>2</v>
      </c>
      <c r="M3" s="4" t="s">
        <v>3</v>
      </c>
    </row>
    <row r="4" customFormat="false" ht="15" hidden="false" customHeight="true" outlineLevel="0" collapsed="false">
      <c r="B4" s="5" t="s">
        <v>4</v>
      </c>
      <c r="C4" s="5" t="s">
        <v>5</v>
      </c>
      <c r="D4" s="5" t="s">
        <v>6</v>
      </c>
      <c r="E4" s="5" t="s">
        <v>7</v>
      </c>
      <c r="F4" s="5" t="s">
        <v>8</v>
      </c>
      <c r="G4" s="5" t="s">
        <v>9</v>
      </c>
      <c r="H4" s="5" t="s">
        <v>10</v>
      </c>
      <c r="I4" s="5" t="s">
        <v>11</v>
      </c>
      <c r="J4" s="5" t="s">
        <v>12</v>
      </c>
      <c r="K4" s="5" t="s">
        <v>13</v>
      </c>
      <c r="M4" s="6" t="s">
        <v>14</v>
      </c>
      <c r="N4" s="6" t="s">
        <v>15</v>
      </c>
      <c r="O4" s="6" t="s">
        <v>16</v>
      </c>
      <c r="P4" s="6" t="s">
        <v>17</v>
      </c>
      <c r="Q4" s="6" t="s">
        <v>18</v>
      </c>
    </row>
    <row r="6" customFormat="false" ht="15" hidden="false" customHeight="true" outlineLevel="0" collapsed="false">
      <c r="A6" s="3" t="s">
        <v>19</v>
      </c>
      <c r="B6" s="7" t="n">
        <v>26481</v>
      </c>
      <c r="C6" s="7" t="n">
        <v>26076</v>
      </c>
      <c r="D6" s="7" t="n">
        <v>26268</v>
      </c>
      <c r="E6" s="7" t="n">
        <v>24977</v>
      </c>
      <c r="F6" s="7" t="n">
        <v>26184</v>
      </c>
      <c r="G6" s="7" t="n">
        <v>26043</v>
      </c>
      <c r="H6" s="7" t="n">
        <v>26484</v>
      </c>
      <c r="I6" s="7" t="n">
        <v>26640</v>
      </c>
      <c r="J6" s="7" t="n">
        <v>25846</v>
      </c>
      <c r="K6" s="7" t="n">
        <v>24942</v>
      </c>
      <c r="M6" s="8" t="n">
        <f aca="false">K6*(1+$C$41)</f>
        <v>24786.5393566281</v>
      </c>
      <c r="N6" s="8" t="n">
        <f aca="false">M6*(1+$C$41)</f>
        <v>24632.0476817285</v>
      </c>
      <c r="O6" s="8" t="n">
        <f aca="false">N6*(1+$C$41)</f>
        <v>24478.5189358312</v>
      </c>
      <c r="P6" s="8" t="n">
        <f aca="false">O6*(1+$C$41)</f>
        <v>24325.9471171095</v>
      </c>
      <c r="Q6" s="8" t="n">
        <f aca="false">P6*(1+$C$41)</f>
        <v>24174.3262611454</v>
      </c>
    </row>
    <row r="7" customFormat="false" ht="15" hidden="false" customHeight="true" outlineLevel="0" collapsed="false">
      <c r="A7" s="9" t="s">
        <v>20</v>
      </c>
      <c r="C7" s="10" t="n">
        <f aca="false">C6/B6-1</f>
        <v>-0.0152939843661493</v>
      </c>
      <c r="D7" s="10" t="n">
        <f aca="false">D6/C6-1</f>
        <v>0.00736309249884948</v>
      </c>
      <c r="E7" s="10" t="n">
        <f aca="false">E6/D6-1</f>
        <v>-0.0491472514085579</v>
      </c>
      <c r="F7" s="10" t="n">
        <f aca="false">F6/E6-1</f>
        <v>0.0483244585018217</v>
      </c>
      <c r="G7" s="10" t="n">
        <f aca="false">G6/F6-1</f>
        <v>-0.00538496791934007</v>
      </c>
      <c r="H7" s="10" t="n">
        <f aca="false">H6/G6-1</f>
        <v>0.0169335330031102</v>
      </c>
      <c r="I7" s="10" t="n">
        <f aca="false">I6/H6-1</f>
        <v>0.00589034888989581</v>
      </c>
      <c r="J7" s="10" t="n">
        <f aca="false">J6/I6-1</f>
        <v>-0.0298048048048049</v>
      </c>
      <c r="K7" s="10" t="n">
        <f aca="false">K6/J6-1</f>
        <v>-0.0349763986690397</v>
      </c>
      <c r="M7" s="10" t="n">
        <f aca="false">M6/K6-1</f>
        <v>-0.00623288603046834</v>
      </c>
      <c r="N7" s="10" t="n">
        <f aca="false">N6/M6-1</f>
        <v>-0.00623288603046834</v>
      </c>
      <c r="O7" s="10" t="n">
        <f aca="false">O6/N6-1</f>
        <v>-0.00623288603046834</v>
      </c>
      <c r="P7" s="10" t="n">
        <f aca="false">P6/O6-1</f>
        <v>-0.00623288603046823</v>
      </c>
      <c r="Q7" s="10" t="n">
        <f aca="false">Q6/P6-1</f>
        <v>-0.00623288603046823</v>
      </c>
    </row>
    <row r="9" customFormat="false" ht="15" hidden="false" customHeight="true" outlineLevel="0" collapsed="false">
      <c r="A9" s="3" t="s">
        <v>21</v>
      </c>
      <c r="B9" s="7" t="n">
        <v>14903</v>
      </c>
      <c r="C9" s="7" t="n">
        <v>15469</v>
      </c>
      <c r="D9" s="7" t="n">
        <v>16122</v>
      </c>
      <c r="E9" s="7" t="n">
        <v>15854</v>
      </c>
      <c r="F9" s="7" t="n">
        <v>16009</v>
      </c>
      <c r="G9" s="7" t="n">
        <v>16546</v>
      </c>
      <c r="H9" s="7" t="n">
        <v>17480</v>
      </c>
      <c r="I9" s="7" t="n">
        <v>16614</v>
      </c>
      <c r="J9" s="7" t="n">
        <v>15909</v>
      </c>
      <c r="K9" s="7" t="n">
        <v>15599</v>
      </c>
      <c r="M9" s="8" t="n">
        <f aca="false">M6*M10</f>
        <v>15307.7995294995</v>
      </c>
      <c r="N9" s="8" t="n">
        <f aca="false">N6*N10</f>
        <v>15212.3877596548</v>
      </c>
      <c r="O9" s="8" t="n">
        <f aca="false">O6*O10</f>
        <v>15117.5706804976</v>
      </c>
      <c r="P9" s="8" t="n">
        <f aca="false">P6*P10</f>
        <v>15023.3445853885</v>
      </c>
      <c r="Q9" s="8" t="n">
        <f aca="false">Q6*Q10</f>
        <v>14929.7057907914</v>
      </c>
    </row>
    <row r="10" customFormat="false" ht="15" hidden="false" customHeight="true" outlineLevel="0" collapsed="false">
      <c r="A10" s="9" t="s">
        <v>22</v>
      </c>
      <c r="B10" s="10" t="n">
        <f aca="false">B9/B6</f>
        <v>0.562780861749934</v>
      </c>
      <c r="C10" s="10" t="n">
        <f aca="false">C9/C6</f>
        <v>0.593227488878662</v>
      </c>
      <c r="D10" s="10" t="n">
        <f aca="false">D9/D6</f>
        <v>0.613750571037003</v>
      </c>
      <c r="E10" s="10" t="n">
        <f aca="false">E9/E6</f>
        <v>0.634743964447292</v>
      </c>
      <c r="F10" s="10" t="n">
        <f aca="false">F9/F6</f>
        <v>0.611403910785212</v>
      </c>
      <c r="G10" s="10" t="n">
        <f aca="false">G9/G6</f>
        <v>0.63533387090581</v>
      </c>
      <c r="H10" s="10" t="n">
        <f aca="false">H9/H6</f>
        <v>0.660021144842169</v>
      </c>
      <c r="I10" s="10" t="n">
        <f aca="false">I9/I6</f>
        <v>0.623648648648649</v>
      </c>
      <c r="J10" s="10" t="n">
        <f aca="false">J9/J6</f>
        <v>0.615530449586009</v>
      </c>
      <c r="K10" s="10" t="n">
        <f aca="false">K9/K6</f>
        <v>0.625410953411916</v>
      </c>
      <c r="M10" s="10" t="n">
        <f aca="false">$C$42</f>
        <v>0.617585186429266</v>
      </c>
      <c r="N10" s="10" t="n">
        <f aca="false">$C$42</f>
        <v>0.617585186429266</v>
      </c>
      <c r="O10" s="10" t="n">
        <f aca="false">$C$42</f>
        <v>0.617585186429266</v>
      </c>
      <c r="P10" s="10" t="n">
        <f aca="false">$C$42</f>
        <v>0.617585186429266</v>
      </c>
      <c r="Q10" s="10" t="n">
        <f aca="false">$C$42</f>
        <v>0.617585186429266</v>
      </c>
    </row>
    <row r="11" customFormat="false" ht="15" hidden="false" customHeight="true" outlineLevel="0" collapsed="false">
      <c r="A11" s="3" t="s">
        <v>23</v>
      </c>
      <c r="B11" s="7" t="n">
        <v>1069</v>
      </c>
      <c r="C11" s="7" t="n">
        <v>753</v>
      </c>
      <c r="D11" s="7" t="n">
        <v>693</v>
      </c>
      <c r="E11" s="7" t="n">
        <v>708</v>
      </c>
      <c r="F11" s="7" t="n">
        <v>705</v>
      </c>
      <c r="G11" s="7" t="n">
        <v>671</v>
      </c>
      <c r="H11" s="7" t="n">
        <v>672</v>
      </c>
      <c r="I11" s="7" t="n">
        <v>710</v>
      </c>
      <c r="J11" s="7" t="n">
        <v>696</v>
      </c>
      <c r="K11" s="7" t="n">
        <v>722</v>
      </c>
      <c r="M11" s="11" t="n">
        <f aca="false">M12*'Balance Sheet'!K18</f>
        <v>753.361080241534</v>
      </c>
      <c r="N11" s="11" t="n">
        <f aca="false">N12*'Balance Sheet'!M18</f>
        <v>767.276303113397</v>
      </c>
      <c r="O11" s="11" t="n">
        <f aca="false">O12*'Balance Sheet'!N18</f>
        <v>779.315985619589</v>
      </c>
      <c r="P11" s="11" t="n">
        <f aca="false">P12*'Balance Sheet'!O18</f>
        <v>789.66375177823</v>
      </c>
      <c r="Q11" s="11" t="n">
        <f aca="false">Q12*'Balance Sheet'!P18</f>
        <v>798.485555407657</v>
      </c>
    </row>
    <row r="12" customFormat="false" ht="15" hidden="false" customHeight="true" outlineLevel="0" collapsed="false">
      <c r="A12" s="9" t="s">
        <v>24</v>
      </c>
      <c r="C12" s="12" t="n">
        <f aca="false">C11/'Balance Sheet'!B18</f>
        <v>0.11258971291866</v>
      </c>
      <c r="D12" s="12" t="n">
        <f aca="false">D11/'Balance Sheet'!C18</f>
        <v>0.0981447387055658</v>
      </c>
      <c r="E12" s="12" t="n">
        <f aca="false">E11/'Balance Sheet'!D18</f>
        <v>0.100028256569652</v>
      </c>
      <c r="F12" s="12" t="n">
        <f aca="false">F11/'Balance Sheet'!E18</f>
        <v>0.0927997893905489</v>
      </c>
      <c r="G12" s="12" t="n">
        <f aca="false">G11/'Balance Sheet'!F18</f>
        <v>0.0902124226942727</v>
      </c>
      <c r="H12" s="12" t="n">
        <f aca="false">H11/'Balance Sheet'!G18</f>
        <v>0.0911186440677966</v>
      </c>
      <c r="I12" s="12" t="n">
        <f aca="false">I11/'Balance Sheet'!H18</f>
        <v>0.0958423326133909</v>
      </c>
      <c r="J12" s="12" t="n">
        <f aca="false">J11/'Balance Sheet'!I18</f>
        <v>0.0904365904365904</v>
      </c>
      <c r="K12" s="12" t="n">
        <f aca="false">K11/'Balance Sheet'!J18</f>
        <v>0.0938759589130152</v>
      </c>
      <c r="M12" s="10" t="n">
        <f aca="false">$C$43</f>
        <v>0.0961164940343881</v>
      </c>
      <c r="N12" s="10" t="n">
        <f aca="false">$C$43</f>
        <v>0.0961164940343881</v>
      </c>
      <c r="O12" s="10" t="n">
        <f aca="false">$C$43</f>
        <v>0.0961164940343881</v>
      </c>
      <c r="P12" s="10" t="n">
        <f aca="false">$C$43</f>
        <v>0.0961164940343881</v>
      </c>
      <c r="Q12" s="10" t="n">
        <f aca="false">$C$43</f>
        <v>0.0961164940343881</v>
      </c>
    </row>
    <row r="13" customFormat="false" ht="15" hidden="false" customHeight="true" outlineLevel="0" collapsed="false">
      <c r="A13" s="3" t="s">
        <v>25</v>
      </c>
      <c r="B13" s="7" t="n">
        <v>268</v>
      </c>
      <c r="C13" s="7" t="n">
        <v>278</v>
      </c>
      <c r="D13" s="7" t="n">
        <v>290</v>
      </c>
      <c r="E13" s="7" t="n">
        <v>286</v>
      </c>
      <c r="F13" s="7" t="n">
        <v>264</v>
      </c>
      <c r="G13" s="7" t="n">
        <v>239</v>
      </c>
      <c r="H13" s="7" t="n">
        <v>261</v>
      </c>
      <c r="I13" s="7" t="n">
        <v>251</v>
      </c>
      <c r="J13" s="7" t="n">
        <v>252</v>
      </c>
      <c r="K13" s="7" t="n">
        <v>246</v>
      </c>
      <c r="M13" s="11" t="n">
        <f aca="false">M14*'Balance Sheet'!K21</f>
        <v>207.860388437976</v>
      </c>
      <c r="N13" s="11" t="n">
        <f aca="false">N14*'Balance Sheet'!M21</f>
        <v>206.709120323143</v>
      </c>
      <c r="O13" s="11" t="n">
        <f aca="false">O14*'Balance Sheet'!N21</f>
        <v>205.564228691497</v>
      </c>
      <c r="P13" s="11" t="n">
        <f aca="false">P14*'Balance Sheet'!O21</f>
        <v>204.425678225863</v>
      </c>
      <c r="Q13" s="11" t="n">
        <f aca="false">Q14*'Balance Sheet'!P21</f>
        <v>203.293433804676</v>
      </c>
    </row>
    <row r="14" customFormat="false" ht="15" hidden="false" customHeight="true" outlineLevel="0" collapsed="false">
      <c r="A14" s="9" t="s">
        <v>26</v>
      </c>
      <c r="C14" s="12" t="n">
        <f aca="false">C13/'Balance Sheet'!B21</f>
        <v>0.00468826416176198</v>
      </c>
      <c r="D14" s="12" t="n">
        <f aca="false">D13/'Balance Sheet'!C21</f>
        <v>0.00487952618118186</v>
      </c>
      <c r="E14" s="12" t="n">
        <f aca="false">E13/'Balance Sheet'!D21</f>
        <v>0.00578151532303711</v>
      </c>
      <c r="F14" s="12" t="n">
        <f aca="false">F13/'Balance Sheet'!E21</f>
        <v>0.00542629285538107</v>
      </c>
      <c r="G14" s="12" t="n">
        <f aca="false">G13/'Balance Sheet'!F21</f>
        <v>0.00512139199005721</v>
      </c>
      <c r="H14" s="12" t="n">
        <f aca="false">H13/'Balance Sheet'!G21</f>
        <v>0.00599421248449773</v>
      </c>
      <c r="I14" s="12" t="n">
        <f aca="false">I13/'Balance Sheet'!H21</f>
        <v>0.00588524936106357</v>
      </c>
      <c r="J14" s="12" t="n">
        <f aca="false">J13/'Balance Sheet'!I21</f>
        <v>0.00593667546174142</v>
      </c>
      <c r="K14" s="12" t="n">
        <f aca="false">K13/'Balance Sheet'!J21</f>
        <v>0.00613481632958428</v>
      </c>
      <c r="M14" s="10" t="n">
        <f aca="false">$C$44</f>
        <v>0.00553866046092291</v>
      </c>
      <c r="N14" s="10" t="n">
        <f aca="false">$C$44</f>
        <v>0.00553866046092291</v>
      </c>
      <c r="O14" s="10" t="n">
        <f aca="false">$C$44</f>
        <v>0.00553866046092291</v>
      </c>
      <c r="P14" s="10" t="n">
        <f aca="false">$C$44</f>
        <v>0.00553866046092291</v>
      </c>
      <c r="Q14" s="10" t="n">
        <f aca="false">$C$44</f>
        <v>0.00553866046092291</v>
      </c>
    </row>
    <row r="15" customFormat="false" ht="15" hidden="false" customHeight="true" outlineLevel="0" collapsed="false">
      <c r="A15" s="13" t="s">
        <v>27</v>
      </c>
      <c r="B15" s="8" t="n">
        <f aca="false">B9+B11+B13</f>
        <v>16240</v>
      </c>
      <c r="C15" s="8" t="n">
        <f aca="false">C9+C11+C13</f>
        <v>16500</v>
      </c>
      <c r="D15" s="8" t="n">
        <f aca="false">D9+D11+D13</f>
        <v>17105</v>
      </c>
      <c r="E15" s="8" t="n">
        <f aca="false">E9+E11+E13</f>
        <v>16848</v>
      </c>
      <c r="F15" s="8" t="n">
        <f aca="false">F9+F11+F13</f>
        <v>16978</v>
      </c>
      <c r="G15" s="8" t="n">
        <f aca="false">G9+G11+G13</f>
        <v>17456</v>
      </c>
      <c r="H15" s="8" t="n">
        <f aca="false">H9+H11+H13</f>
        <v>18413</v>
      </c>
      <c r="I15" s="8" t="n">
        <f aca="false">I9+I11+I13</f>
        <v>17575</v>
      </c>
      <c r="J15" s="8" t="n">
        <f aca="false">J9+J11+J13</f>
        <v>16857</v>
      </c>
      <c r="K15" s="8" t="n">
        <f aca="false">K9+K11+K13</f>
        <v>16567</v>
      </c>
      <c r="M15" s="8" t="n">
        <f aca="false">M9+M11+M13</f>
        <v>16269.020998179</v>
      </c>
      <c r="N15" s="8" t="n">
        <f aca="false">N9+N11+N13</f>
        <v>16186.3731830914</v>
      </c>
      <c r="O15" s="8" t="n">
        <f aca="false">O9+O11+O13</f>
        <v>16102.4508948087</v>
      </c>
      <c r="P15" s="8" t="n">
        <f aca="false">P9+P11+P13</f>
        <v>16017.4340153926</v>
      </c>
      <c r="Q15" s="8" t="n">
        <f aca="false">Q9+Q11+Q13</f>
        <v>15931.4847800037</v>
      </c>
    </row>
    <row r="16" customFormat="false" ht="15" hidden="false" customHeight="true" outlineLevel="0" collapsed="false">
      <c r="A16" s="13" t="s">
        <v>28</v>
      </c>
      <c r="B16" s="8" t="n">
        <f aca="false">B6-B15</f>
        <v>10241</v>
      </c>
      <c r="C16" s="8" t="n">
        <f aca="false">C6-C15</f>
        <v>9576</v>
      </c>
      <c r="D16" s="8" t="n">
        <f aca="false">D6-D15</f>
        <v>9163</v>
      </c>
      <c r="E16" s="8" t="n">
        <f aca="false">E6-E15</f>
        <v>8129</v>
      </c>
      <c r="F16" s="8" t="n">
        <f aca="false">F6-F15</f>
        <v>9206</v>
      </c>
      <c r="G16" s="8" t="n">
        <f aca="false">G6-G15</f>
        <v>8587</v>
      </c>
      <c r="H16" s="8" t="n">
        <f aca="false">H6-H15</f>
        <v>8071</v>
      </c>
      <c r="I16" s="8" t="n">
        <f aca="false">I6-I15</f>
        <v>9065</v>
      </c>
      <c r="J16" s="8" t="n">
        <f aca="false">J6-J15</f>
        <v>8989</v>
      </c>
      <c r="K16" s="8" t="n">
        <f aca="false">K6-K15</f>
        <v>8375</v>
      </c>
      <c r="M16" s="8" t="n">
        <f aca="false">M6-M15</f>
        <v>8517.51835844908</v>
      </c>
      <c r="N16" s="8" t="n">
        <f aca="false">N6-N15</f>
        <v>8445.6744986371</v>
      </c>
      <c r="O16" s="8" t="n">
        <f aca="false">O6-O15</f>
        <v>8376.06804102249</v>
      </c>
      <c r="P16" s="8" t="n">
        <f aca="false">P6-P15</f>
        <v>8308.51310171688</v>
      </c>
      <c r="Q16" s="8" t="n">
        <f aca="false">Q6-Q15</f>
        <v>8242.84148114168</v>
      </c>
    </row>
    <row r="18" customFormat="false" ht="15" hidden="false" customHeight="true" outlineLevel="0" collapsed="false">
      <c r="A18" s="3" t="s">
        <v>29</v>
      </c>
      <c r="B18" s="7" t="n">
        <v>3143</v>
      </c>
      <c r="C18" s="7" t="n">
        <v>2601</v>
      </c>
      <c r="D18" s="7" t="n">
        <v>3305</v>
      </c>
      <c r="E18" s="7" t="n">
        <v>3124</v>
      </c>
      <c r="F18" s="7" t="n">
        <v>3615</v>
      </c>
      <c r="G18" s="7" t="n">
        <v>3517</v>
      </c>
      <c r="H18" s="7" t="n">
        <v>3530</v>
      </c>
      <c r="I18" s="7" t="n">
        <v>3689</v>
      </c>
      <c r="J18" s="7" t="n">
        <v>3597</v>
      </c>
      <c r="K18" s="7" t="n">
        <v>3660</v>
      </c>
      <c r="M18" s="8" t="n">
        <f aca="false">M6*M19</f>
        <v>3222.52654972355</v>
      </c>
      <c r="N18" s="8" t="n">
        <f aca="false">N6*N19</f>
        <v>3202.44090900896</v>
      </c>
      <c r="O18" s="8" t="n">
        <f aca="false">O6*O19</f>
        <v>3182.4804598038</v>
      </c>
      <c r="P18" s="8" t="n">
        <f aca="false">P6*P19</f>
        <v>3162.64442180365</v>
      </c>
      <c r="Q18" s="8" t="n">
        <f aca="false">Q6*Q19</f>
        <v>3142.93201956765</v>
      </c>
    </row>
    <row r="19" customFormat="false" ht="15" hidden="false" customHeight="true" outlineLevel="0" collapsed="false">
      <c r="A19" s="9" t="s">
        <v>30</v>
      </c>
      <c r="B19" s="10" t="n">
        <f aca="false">B18/B6</f>
        <v>0.118688871266191</v>
      </c>
      <c r="C19" s="10" t="n">
        <f aca="false">C18/C6</f>
        <v>0.099746893695352</v>
      </c>
      <c r="D19" s="10" t="n">
        <f aca="false">D18/D6</f>
        <v>0.12581848637125</v>
      </c>
      <c r="E19" s="10" t="n">
        <f aca="false">E18/E6</f>
        <v>0.125075069063538</v>
      </c>
      <c r="F19" s="10" t="n">
        <f aca="false">F18/F6</f>
        <v>0.138061411549038</v>
      </c>
      <c r="G19" s="10" t="n">
        <f aca="false">G18/G6</f>
        <v>0.135045885650655</v>
      </c>
      <c r="H19" s="10" t="n">
        <f aca="false">H18/H6</f>
        <v>0.133288022957257</v>
      </c>
      <c r="I19" s="10" t="n">
        <f aca="false">I18/I6</f>
        <v>0.138475975975976</v>
      </c>
      <c r="J19" s="10" t="n">
        <f aca="false">J18/J6</f>
        <v>0.139170471252805</v>
      </c>
      <c r="K19" s="10" t="n">
        <f aca="false">K18/K6</f>
        <v>0.146740437815733</v>
      </c>
      <c r="M19" s="10" t="n">
        <f aca="false">$C$45</f>
        <v>0.130011152559779</v>
      </c>
      <c r="N19" s="10" t="n">
        <f aca="false">$C$45</f>
        <v>0.130011152559779</v>
      </c>
      <c r="O19" s="10" t="n">
        <f aca="false">$C$45</f>
        <v>0.130011152559779</v>
      </c>
      <c r="P19" s="10" t="n">
        <f aca="false">$C$45</f>
        <v>0.130011152559779</v>
      </c>
      <c r="Q19" s="10" t="n">
        <f aca="false">$C$45</f>
        <v>0.130011152559779</v>
      </c>
    </row>
    <row r="20" customFormat="false" ht="15" hidden="false" customHeight="true" outlineLevel="0" collapsed="false">
      <c r="A20" s="13" t="s">
        <v>31</v>
      </c>
      <c r="B20" s="8" t="n">
        <f aca="false">B16-B18</f>
        <v>7098</v>
      </c>
      <c r="C20" s="8" t="n">
        <f aca="false">C16-C18</f>
        <v>6975</v>
      </c>
      <c r="D20" s="8" t="n">
        <f aca="false">D16-D18</f>
        <v>5858</v>
      </c>
      <c r="E20" s="8" t="n">
        <f aca="false">E16-E18</f>
        <v>5005</v>
      </c>
      <c r="F20" s="8" t="n">
        <f aca="false">F16-F18</f>
        <v>5591</v>
      </c>
      <c r="G20" s="8" t="n">
        <f aca="false">G16-G18</f>
        <v>5070</v>
      </c>
      <c r="H20" s="8" t="n">
        <f aca="false">H16-H18</f>
        <v>4541</v>
      </c>
      <c r="I20" s="8" t="n">
        <f aca="false">I16-I18</f>
        <v>5376</v>
      </c>
      <c r="J20" s="8" t="n">
        <f aca="false">J16-J18</f>
        <v>5392</v>
      </c>
      <c r="K20" s="8" t="n">
        <f aca="false">K16-K18</f>
        <v>4715</v>
      </c>
      <c r="M20" s="8" t="n">
        <f aca="false">M16-M18</f>
        <v>5294.99180872553</v>
      </c>
      <c r="N20" s="8" t="n">
        <f aca="false">N16-N18</f>
        <v>5243.23358962813</v>
      </c>
      <c r="O20" s="8" t="n">
        <f aca="false">O16-O18</f>
        <v>5193.58758121869</v>
      </c>
      <c r="P20" s="8" t="n">
        <f aca="false">P16-P18</f>
        <v>5145.86867991323</v>
      </c>
      <c r="Q20" s="8" t="n">
        <f aca="false">Q16-Q18</f>
        <v>5099.90946157403</v>
      </c>
    </row>
    <row r="22" customFormat="false" ht="15" hidden="false" customHeight="true" outlineLevel="0" collapsed="false">
      <c r="A22" s="3" t="s">
        <v>32</v>
      </c>
      <c r="B22" s="7" t="n">
        <v>67</v>
      </c>
      <c r="C22" s="7" t="n">
        <v>264</v>
      </c>
      <c r="D22" s="7" t="n">
        <v>495</v>
      </c>
      <c r="E22" s="7" t="n">
        <v>1049</v>
      </c>
      <c r="F22" s="7" t="n">
        <v>240</v>
      </c>
      <c r="G22" s="7" t="n">
        <v>418</v>
      </c>
      <c r="H22" s="7" t="n">
        <v>340</v>
      </c>
      <c r="I22" s="7" t="n">
        <v>64</v>
      </c>
      <c r="J22" s="7" t="n">
        <v>85</v>
      </c>
      <c r="K22" s="7" t="n">
        <v>209</v>
      </c>
      <c r="M22" s="8" t="n">
        <f aca="false">$K$22</f>
        <v>209</v>
      </c>
      <c r="N22" s="8" t="n">
        <f aca="false">$K$22</f>
        <v>209</v>
      </c>
      <c r="O22" s="8" t="n">
        <f aca="false">$K$22</f>
        <v>209</v>
      </c>
      <c r="P22" s="8" t="n">
        <f aca="false">$K$22</f>
        <v>209</v>
      </c>
      <c r="Q22" s="8" t="n">
        <f aca="false">$K$22</f>
        <v>209</v>
      </c>
    </row>
    <row r="23" customFormat="false" ht="15" hidden="false" customHeight="true" outlineLevel="0" collapsed="false">
      <c r="A23" s="3" t="s">
        <v>33</v>
      </c>
      <c r="B23" s="7" t="n">
        <v>1012</v>
      </c>
      <c r="C23" s="7" t="n">
        <v>483</v>
      </c>
      <c r="D23" s="7" t="n">
        <v>16396</v>
      </c>
      <c r="E23" s="7" t="n">
        <v>2007</v>
      </c>
      <c r="F23" s="7" t="n">
        <v>3397</v>
      </c>
      <c r="G23" s="7" t="n">
        <v>1718</v>
      </c>
      <c r="H23" s="7" t="n">
        <v>987</v>
      </c>
      <c r="I23" s="7" t="n">
        <v>887</v>
      </c>
      <c r="J23" s="7" t="n">
        <v>3689</v>
      </c>
      <c r="K23" s="7" t="n">
        <v>9395</v>
      </c>
      <c r="M23" s="7" t="n">
        <v>0</v>
      </c>
      <c r="N23" s="7" t="n">
        <v>0</v>
      </c>
      <c r="O23" s="7" t="n">
        <v>0</v>
      </c>
      <c r="P23" s="7" t="n">
        <v>0</v>
      </c>
      <c r="Q23" s="7" t="n">
        <v>0</v>
      </c>
    </row>
    <row r="24" customFormat="false" ht="15" hidden="false" customHeight="true" outlineLevel="0" collapsed="false">
      <c r="A24" s="3" t="s">
        <v>34</v>
      </c>
      <c r="B24" s="7" t="n">
        <v>1130</v>
      </c>
      <c r="C24" s="7" t="n">
        <v>1306</v>
      </c>
      <c r="D24" s="7" t="n">
        <v>1278</v>
      </c>
      <c r="E24" s="7" t="n">
        <v>1386</v>
      </c>
      <c r="F24" s="7" t="n">
        <v>1404</v>
      </c>
      <c r="G24" s="7" t="n">
        <v>2062</v>
      </c>
      <c r="H24" s="7" t="n">
        <v>928</v>
      </c>
      <c r="I24" s="7" t="n">
        <v>920</v>
      </c>
      <c r="J24" s="7" t="n">
        <v>932</v>
      </c>
      <c r="K24" s="7" t="n">
        <v>974</v>
      </c>
      <c r="M24" s="11" t="n">
        <f aca="false">M25*('Balance Sheet'!K31+'Balance Sheet'!K36)</f>
        <v>1021.1056041028</v>
      </c>
      <c r="N24" s="11" t="n">
        <f aca="false">N25*('Balance Sheet'!M31+'Balance Sheet'!M36)</f>
        <v>1021.1056041028</v>
      </c>
      <c r="O24" s="11" t="n">
        <f aca="false">O25*('Balance Sheet'!N31+'Balance Sheet'!N36)</f>
        <v>1021.1056041028</v>
      </c>
      <c r="P24" s="11" t="n">
        <f aca="false">P25*('Balance Sheet'!O31+'Balance Sheet'!O36)</f>
        <v>1021.1056041028</v>
      </c>
      <c r="Q24" s="11" t="n">
        <f aca="false">Q25*('Balance Sheet'!P31+'Balance Sheet'!P36)</f>
        <v>1021.1056041028</v>
      </c>
    </row>
    <row r="25" customFormat="false" ht="15" hidden="false" customHeight="true" outlineLevel="0" collapsed="false">
      <c r="A25" s="9" t="s">
        <v>35</v>
      </c>
      <c r="C25" s="12" t="n">
        <f aca="false">C24/('Balance Sheet'!B31+'Balance Sheet'!B36)</f>
        <v>0.0403036662140477</v>
      </c>
      <c r="D25" s="12" t="n">
        <f aca="false">D24/('Balance Sheet'!C31+'Balance Sheet'!C36)</f>
        <v>0.0405675649938101</v>
      </c>
      <c r="E25" s="12" t="n">
        <f aca="false">E24/('Balance Sheet'!D31+'Balance Sheet'!D36)</f>
        <v>0.0444686858316222</v>
      </c>
      <c r="F25" s="12" t="n">
        <f aca="false">F24/('Balance Sheet'!E31+'Balance Sheet'!E36)</f>
        <v>0.0470430557882392</v>
      </c>
      <c r="G25" s="12" t="n">
        <f aca="false">G24/('Balance Sheet'!F31+'Balance Sheet'!F36)</f>
        <v>0.0713100013833172</v>
      </c>
      <c r="H25" s="12" t="n">
        <f aca="false">H24/('Balance Sheet'!G31+'Balance Sheet'!G36)</f>
        <v>0.0413694721825963</v>
      </c>
      <c r="I25" s="12" t="n">
        <f aca="false">I24/('Balance Sheet'!H31+'Balance Sheet'!H36)</f>
        <v>0.0442733397497594</v>
      </c>
      <c r="J25" s="12" t="n">
        <f aca="false">J24/('Balance Sheet'!I31+'Balance Sheet'!I36)</f>
        <v>0.045135357644438</v>
      </c>
      <c r="K25" s="12" t="n">
        <f aca="false">K24/('Balance Sheet'!J31+'Balance Sheet'!J36)</f>
        <v>0.0476283618581907</v>
      </c>
      <c r="M25" s="10" t="n">
        <f aca="false">$C$46</f>
        <v>0.0468999450717801</v>
      </c>
      <c r="N25" s="10" t="n">
        <f aca="false">$C$46</f>
        <v>0.0468999450717801</v>
      </c>
      <c r="O25" s="10" t="n">
        <f aca="false">$C$46</f>
        <v>0.0468999450717801</v>
      </c>
      <c r="P25" s="10" t="n">
        <f aca="false">$C$46</f>
        <v>0.0468999450717801</v>
      </c>
      <c r="Q25" s="10" t="n">
        <f aca="false">$C$46</f>
        <v>0.0468999450717801</v>
      </c>
    </row>
    <row r="26" customFormat="false" ht="15" hidden="false" customHeight="true" outlineLevel="0" collapsed="false">
      <c r="A26" s="13" t="s">
        <v>36</v>
      </c>
      <c r="B26" s="8" t="n">
        <f aca="false">B20+B22-B23-B24</f>
        <v>5023</v>
      </c>
      <c r="C26" s="8" t="n">
        <f aca="false">C20+C22-C23-C24</f>
        <v>5450</v>
      </c>
      <c r="D26" s="8" t="n">
        <f aca="false">D20+D22-D23-D24</f>
        <v>-11321</v>
      </c>
      <c r="E26" s="8" t="n">
        <f aca="false">E20+E22-E23-E24</f>
        <v>2661</v>
      </c>
      <c r="F26" s="8" t="n">
        <f aca="false">F20+F22-F23-F24</f>
        <v>1030</v>
      </c>
      <c r="G26" s="8" t="n">
        <f aca="false">G20+G22-G23-G24</f>
        <v>1708</v>
      </c>
      <c r="H26" s="8" t="n">
        <f aca="false">H20+H22-H23-H24</f>
        <v>2966</v>
      </c>
      <c r="I26" s="8" t="n">
        <f aca="false">I20+I22-I23-I24</f>
        <v>3633</v>
      </c>
      <c r="J26" s="8" t="n">
        <f aca="false">J20+J22-J23-J24</f>
        <v>856</v>
      </c>
      <c r="K26" s="8" t="n">
        <f aca="false">K20+K22-K23-K24</f>
        <v>-5445</v>
      </c>
      <c r="M26" s="8" t="n">
        <f aca="false">M20+M22-M23-M24</f>
        <v>4482.88620462273</v>
      </c>
      <c r="N26" s="8" t="n">
        <f aca="false">N20+N22-N23-N24</f>
        <v>4431.12798552534</v>
      </c>
      <c r="O26" s="8" t="n">
        <f aca="false">O20+O22-O23-O24</f>
        <v>4381.4819771159</v>
      </c>
      <c r="P26" s="8" t="n">
        <f aca="false">P20+P22-P23-P24</f>
        <v>4333.76307581044</v>
      </c>
      <c r="Q26" s="8" t="n">
        <f aca="false">Q20+Q22-Q23-Q24</f>
        <v>4287.80385747123</v>
      </c>
    </row>
    <row r="27" customFormat="false" ht="15" hidden="false" customHeight="true" outlineLevel="0" collapsed="false">
      <c r="A27" s="3" t="s">
        <v>37</v>
      </c>
      <c r="B27" s="7" t="n">
        <v>1381</v>
      </c>
      <c r="C27" s="7" t="n">
        <v>-5482</v>
      </c>
      <c r="D27" s="7" t="n">
        <v>-1067</v>
      </c>
      <c r="E27" s="7" t="n">
        <v>728</v>
      </c>
      <c r="F27" s="7" t="n">
        <v>669</v>
      </c>
      <c r="G27" s="7" t="n">
        <v>684</v>
      </c>
      <c r="H27" s="7" t="n">
        <v>598</v>
      </c>
      <c r="I27" s="7" t="n">
        <v>787</v>
      </c>
      <c r="J27" s="7" t="n">
        <v>-1890</v>
      </c>
      <c r="K27" s="7" t="n">
        <v>403</v>
      </c>
      <c r="M27" s="8" t="n">
        <f aca="false">M26*M28</f>
        <v>1084.8584615187</v>
      </c>
      <c r="N27" s="8" t="n">
        <f aca="false">N26*N28</f>
        <v>1072.33297249713</v>
      </c>
      <c r="O27" s="8" t="n">
        <f aca="false">O26*O28</f>
        <v>1060.31863846205</v>
      </c>
      <c r="P27" s="8" t="n">
        <f aca="false">P26*P28</f>
        <v>1048.77066434613</v>
      </c>
      <c r="Q27" s="8" t="n">
        <f aca="false">Q26*Q28</f>
        <v>1037.64853350804</v>
      </c>
    </row>
    <row r="28" customFormat="false" ht="15" hidden="false" customHeight="true" outlineLevel="0" collapsed="false">
      <c r="A28" s="9" t="s">
        <v>38</v>
      </c>
      <c r="B28" s="10" t="n">
        <f aca="false">B27/B26</f>
        <v>0.274935297630898</v>
      </c>
      <c r="C28" s="10" t="n">
        <f aca="false">C27/C26</f>
        <v>-1.00587155963303</v>
      </c>
      <c r="D28" s="10" t="n">
        <f aca="false">D27/D26</f>
        <v>0.0942496245914672</v>
      </c>
      <c r="E28" s="10" t="n">
        <f aca="false">E27/E26</f>
        <v>0.273581360390831</v>
      </c>
      <c r="F28" s="10" t="n">
        <f aca="false">F27/F26</f>
        <v>0.649514563106796</v>
      </c>
      <c r="G28" s="10" t="n">
        <f aca="false">G27/G26</f>
        <v>0.400468384074941</v>
      </c>
      <c r="H28" s="10" t="n">
        <f aca="false">H27/H26</f>
        <v>0.20161834120027</v>
      </c>
      <c r="I28" s="10" t="n">
        <f aca="false">I27/I26</f>
        <v>0.216625378475089</v>
      </c>
      <c r="J28" s="10" t="n">
        <f aca="false">J27/J26</f>
        <v>-2.20794392523365</v>
      </c>
      <c r="K28" s="10" t="n">
        <f aca="false">K27/K26</f>
        <v>-0.0740128558310376</v>
      </c>
      <c r="M28" s="10" t="n">
        <f aca="false">$C$48</f>
        <v>0.242</v>
      </c>
      <c r="N28" s="10" t="n">
        <f aca="false">$C$48</f>
        <v>0.242</v>
      </c>
      <c r="O28" s="10" t="n">
        <f aca="false">$C$48</f>
        <v>0.242</v>
      </c>
      <c r="P28" s="10" t="n">
        <f aca="false">$C$48</f>
        <v>0.242</v>
      </c>
      <c r="Q28" s="10" t="n">
        <f aca="false">$C$48</f>
        <v>0.242</v>
      </c>
    </row>
    <row r="29" customFormat="false" ht="15" hidden="false" customHeight="true" outlineLevel="0" collapsed="false">
      <c r="A29" s="13" t="s">
        <v>39</v>
      </c>
      <c r="B29" s="8" t="n">
        <f aca="false">B26-B27</f>
        <v>3642</v>
      </c>
      <c r="C29" s="8" t="n">
        <f aca="false">C26-C27</f>
        <v>10932</v>
      </c>
      <c r="D29" s="8" t="n">
        <f aca="false">D26-D27</f>
        <v>-10254</v>
      </c>
      <c r="E29" s="8" t="n">
        <f aca="false">E26-E27</f>
        <v>1933</v>
      </c>
      <c r="F29" s="8" t="n">
        <f aca="false">F26-F27</f>
        <v>361</v>
      </c>
      <c r="G29" s="8" t="n">
        <f aca="false">G26-G27</f>
        <v>1024</v>
      </c>
      <c r="H29" s="8" t="n">
        <f aca="false">H26-H27</f>
        <v>2368</v>
      </c>
      <c r="I29" s="8" t="n">
        <f aca="false">I26-I27</f>
        <v>2846</v>
      </c>
      <c r="J29" s="8" t="n">
        <f aca="false">J26-J27</f>
        <v>2746</v>
      </c>
      <c r="K29" s="8" t="n">
        <f aca="false">K26-K27</f>
        <v>-5848</v>
      </c>
      <c r="M29" s="8" t="n">
        <f aca="false">M26-M27</f>
        <v>3398.02774310403</v>
      </c>
      <c r="N29" s="8" t="n">
        <f aca="false">N26-N27</f>
        <v>3358.79501302821</v>
      </c>
      <c r="O29" s="8" t="n">
        <f aca="false">O26-O27</f>
        <v>3321.16333865385</v>
      </c>
      <c r="P29" s="8" t="n">
        <f aca="false">P26-P27</f>
        <v>3284.99241146431</v>
      </c>
      <c r="Q29" s="8" t="n">
        <f aca="false">Q26-Q27</f>
        <v>3250.15532396319</v>
      </c>
    </row>
    <row r="30" customFormat="false" ht="15" hidden="false" customHeight="true" outlineLevel="0" collapsed="false">
      <c r="A30" s="3" t="s">
        <v>40</v>
      </c>
      <c r="B30" s="7" t="n">
        <v>10</v>
      </c>
      <c r="C30" s="7" t="n">
        <v>-9</v>
      </c>
      <c r="D30" s="7" t="n">
        <v>-62</v>
      </c>
      <c r="E30" s="7" t="n">
        <v>-2</v>
      </c>
      <c r="F30" s="7" t="n">
        <v>5</v>
      </c>
      <c r="G30" s="7" t="n">
        <v>12</v>
      </c>
      <c r="H30" s="7" t="n">
        <v>5</v>
      </c>
      <c r="I30" s="7" t="n">
        <v>-9</v>
      </c>
      <c r="J30" s="7" t="n">
        <v>2</v>
      </c>
      <c r="K30" s="7" t="n">
        <v>-2</v>
      </c>
      <c r="M30" s="8" t="n">
        <f aca="false">$K$30</f>
        <v>-2</v>
      </c>
      <c r="N30" s="8" t="n">
        <f aca="false">$K$30</f>
        <v>-2</v>
      </c>
      <c r="O30" s="8" t="n">
        <f aca="false">$K$30</f>
        <v>-2</v>
      </c>
      <c r="P30" s="8" t="n">
        <f aca="false">$K$30</f>
        <v>-2</v>
      </c>
      <c r="Q30" s="8" t="n">
        <f aca="false">$K$30</f>
        <v>-2</v>
      </c>
    </row>
    <row r="31" customFormat="false" ht="15" hidden="false" customHeight="true" outlineLevel="0" collapsed="false">
      <c r="A31" s="13" t="s">
        <v>41</v>
      </c>
      <c r="B31" s="8" t="n">
        <f aca="false">B29-B30</f>
        <v>3632</v>
      </c>
      <c r="C31" s="8" t="n">
        <f aca="false">C29-C30</f>
        <v>10941</v>
      </c>
      <c r="D31" s="8" t="n">
        <f aca="false">D29-D30</f>
        <v>-10192</v>
      </c>
      <c r="E31" s="8" t="n">
        <f aca="false">E29-E30</f>
        <v>1935</v>
      </c>
      <c r="F31" s="8" t="n">
        <f aca="false">F29-F30</f>
        <v>356</v>
      </c>
      <c r="G31" s="8" t="n">
        <f aca="false">G29-G30</f>
        <v>1012</v>
      </c>
      <c r="H31" s="8" t="n">
        <f aca="false">H29-H30</f>
        <v>2363</v>
      </c>
      <c r="I31" s="8" t="n">
        <f aca="false">I29-I30</f>
        <v>2855</v>
      </c>
      <c r="J31" s="8" t="n">
        <f aca="false">J29-J30</f>
        <v>2744</v>
      </c>
      <c r="K31" s="8" t="n">
        <f aca="false">K29-K30</f>
        <v>-5846</v>
      </c>
      <c r="M31" s="8" t="n">
        <f aca="false">M29-M30</f>
        <v>3400.02774310403</v>
      </c>
      <c r="N31" s="8" t="n">
        <f aca="false">N29-N30</f>
        <v>3360.79501302821</v>
      </c>
      <c r="O31" s="8" t="n">
        <f aca="false">O29-O30</f>
        <v>3323.16333865385</v>
      </c>
      <c r="P31" s="8" t="n">
        <f aca="false">P29-P30</f>
        <v>3286.99241146431</v>
      </c>
      <c r="Q31" s="8" t="n">
        <f aca="false">Q29-Q30</f>
        <v>3252.15532396319</v>
      </c>
    </row>
    <row r="32" customFormat="false" ht="15" hidden="false" customHeight="true" outlineLevel="0" collapsed="false">
      <c r="A32" s="3" t="s">
        <v>42</v>
      </c>
      <c r="B32" s="7" t="n">
        <v>180</v>
      </c>
      <c r="C32" s="7" t="n">
        <v>0</v>
      </c>
      <c r="D32" s="7" t="n">
        <v>0</v>
      </c>
      <c r="E32" s="7" t="n">
        <v>0</v>
      </c>
      <c r="F32" s="7" t="n">
        <v>0</v>
      </c>
      <c r="G32" s="7" t="n">
        <v>0</v>
      </c>
      <c r="H32" s="7" t="n">
        <v>0</v>
      </c>
      <c r="I32" s="7" t="n">
        <v>0</v>
      </c>
      <c r="J32" s="7" t="n">
        <v>0</v>
      </c>
      <c r="K32" s="7" t="n">
        <v>0</v>
      </c>
      <c r="M32" s="8" t="n">
        <f aca="false">$K$32</f>
        <v>0</v>
      </c>
      <c r="N32" s="8" t="n">
        <f aca="false">$K$32</f>
        <v>0</v>
      </c>
      <c r="O32" s="8" t="n">
        <f aca="false">$K$32</f>
        <v>0</v>
      </c>
      <c r="P32" s="8" t="n">
        <f aca="false">$K$32</f>
        <v>0</v>
      </c>
      <c r="Q32" s="8" t="n">
        <f aca="false">$K$32</f>
        <v>0</v>
      </c>
    </row>
    <row r="33" customFormat="false" ht="15" hidden="false" customHeight="true" outlineLevel="0" collapsed="false">
      <c r="A33" s="13" t="s">
        <v>43</v>
      </c>
      <c r="B33" s="8" t="n">
        <f aca="false">B31-B32</f>
        <v>3452</v>
      </c>
      <c r="C33" s="8" t="n">
        <f aca="false">C31-C32</f>
        <v>10941</v>
      </c>
      <c r="D33" s="8" t="n">
        <f aca="false">D31-D32</f>
        <v>-10192</v>
      </c>
      <c r="E33" s="8" t="n">
        <f aca="false">E31-E32</f>
        <v>1935</v>
      </c>
      <c r="F33" s="8" t="n">
        <f aca="false">F31-F32</f>
        <v>356</v>
      </c>
      <c r="G33" s="8" t="n">
        <f aca="false">G31-G32</f>
        <v>1012</v>
      </c>
      <c r="H33" s="8" t="n">
        <f aca="false">H31-H32</f>
        <v>2363</v>
      </c>
      <c r="I33" s="8" t="n">
        <f aca="false">I31-I32</f>
        <v>2855</v>
      </c>
      <c r="J33" s="8" t="n">
        <f aca="false">J31-J32</f>
        <v>2744</v>
      </c>
      <c r="K33" s="8" t="n">
        <f aca="false">K31-K32</f>
        <v>-5846</v>
      </c>
      <c r="M33" s="8" t="n">
        <f aca="false">M31-M32</f>
        <v>3400.02774310403</v>
      </c>
      <c r="N33" s="8" t="n">
        <f aca="false">N31-N32</f>
        <v>3360.79501302821</v>
      </c>
      <c r="O33" s="8" t="n">
        <f aca="false">O31-O32</f>
        <v>3323.16333865385</v>
      </c>
      <c r="P33" s="8" t="n">
        <f aca="false">P31-P32</f>
        <v>3286.99241146431</v>
      </c>
      <c r="Q33" s="8" t="n">
        <f aca="false">Q31-Q32</f>
        <v>3252.15532396319</v>
      </c>
    </row>
    <row r="35" customFormat="false" ht="15" hidden="false" customHeight="true" outlineLevel="0" collapsed="false">
      <c r="A35" s="3" t="s">
        <v>44</v>
      </c>
      <c r="B35" s="7" t="n">
        <v>1217</v>
      </c>
      <c r="C35" s="7" t="n">
        <v>1218</v>
      </c>
      <c r="D35" s="7" t="n">
        <v>1219</v>
      </c>
      <c r="E35" s="7" t="n">
        <v>1221</v>
      </c>
      <c r="F35" s="7" t="n">
        <v>1223</v>
      </c>
      <c r="G35" s="7" t="n">
        <v>1224</v>
      </c>
      <c r="H35" s="7" t="n">
        <v>1226</v>
      </c>
      <c r="I35" s="7" t="n">
        <v>1227</v>
      </c>
      <c r="J35" s="7" t="n">
        <v>1210</v>
      </c>
      <c r="K35" s="7" t="n">
        <v>1187</v>
      </c>
      <c r="M35" s="8" t="n">
        <f aca="false">$K$35</f>
        <v>1187</v>
      </c>
      <c r="N35" s="8" t="n">
        <f aca="false">$K$35</f>
        <v>1187</v>
      </c>
      <c r="O35" s="8" t="n">
        <f aca="false">$K$35</f>
        <v>1187</v>
      </c>
      <c r="P35" s="8" t="n">
        <f aca="false">$K$35</f>
        <v>1187</v>
      </c>
      <c r="Q35" s="8" t="n">
        <f aca="false">$K$35</f>
        <v>1187</v>
      </c>
    </row>
    <row r="36" customFormat="false" ht="15" hidden="false" customHeight="true" outlineLevel="0" collapsed="false">
      <c r="A36" s="3" t="s">
        <v>45</v>
      </c>
      <c r="B36" s="14" t="n">
        <v>2.35</v>
      </c>
      <c r="C36" s="14" t="n">
        <v>2.45</v>
      </c>
      <c r="D36" s="14" t="n">
        <v>2.5</v>
      </c>
      <c r="E36" s="14" t="n">
        <v>1.6</v>
      </c>
      <c r="F36" s="14" t="n">
        <v>1.6</v>
      </c>
      <c r="G36" s="14" t="n">
        <v>1.6</v>
      </c>
      <c r="H36" s="14" t="n">
        <v>1.6</v>
      </c>
      <c r="I36" s="14" t="n">
        <v>1.6</v>
      </c>
      <c r="J36" s="14" t="n">
        <v>1.6</v>
      </c>
      <c r="K36" s="14" t="n">
        <v>1.6</v>
      </c>
    </row>
    <row r="38" customFormat="false" ht="15" hidden="false" customHeight="true" outlineLevel="0" collapsed="false">
      <c r="A38" s="15" t="s">
        <v>46</v>
      </c>
      <c r="B38" s="16"/>
      <c r="C38" s="16"/>
      <c r="D38" s="16"/>
      <c r="E38" s="16"/>
      <c r="F38" s="16"/>
      <c r="G38" s="16"/>
      <c r="H38" s="16"/>
      <c r="I38" s="16"/>
      <c r="J38" s="16"/>
      <c r="K38" s="16"/>
      <c r="M38" s="16"/>
      <c r="N38" s="16"/>
      <c r="O38" s="16"/>
      <c r="P38" s="16"/>
      <c r="Q38" s="16"/>
    </row>
    <row r="39" customFormat="false" ht="15" hidden="false" customHeight="true" outlineLevel="0" collapsed="false">
      <c r="A39" s="17" t="s">
        <v>47</v>
      </c>
      <c r="C39" s="18" t="n">
        <f aca="false">AVERAGE(C7:K7)</f>
        <v>-0.00623288603046829</v>
      </c>
    </row>
    <row r="40" customFormat="false" ht="15" hidden="false" customHeight="true" outlineLevel="0" collapsed="false">
      <c r="A40" s="17" t="s">
        <v>48</v>
      </c>
      <c r="C40" s="18" t="n">
        <f aca="false">(K33/'Balance Sheet'!J50)*(1-('Balance Sheet'!K56/K33))</f>
        <v>-0.156999493157628</v>
      </c>
    </row>
    <row r="41" customFormat="false" ht="15" hidden="false" customHeight="true" outlineLevel="0" collapsed="false">
      <c r="A41" s="17" t="s">
        <v>49</v>
      </c>
      <c r="C41" s="19" t="n">
        <f aca="false">C39</f>
        <v>-0.00623288603046829</v>
      </c>
    </row>
    <row r="42" customFormat="false" ht="15" hidden="false" customHeight="true" outlineLevel="0" collapsed="false">
      <c r="A42" s="17" t="s">
        <v>50</v>
      </c>
      <c r="C42" s="18" t="n">
        <f aca="false">AVERAGE(B10:K10)</f>
        <v>0.617585186429266</v>
      </c>
    </row>
    <row r="43" customFormat="false" ht="15" hidden="false" customHeight="true" outlineLevel="0" collapsed="false">
      <c r="A43" s="17" t="s">
        <v>51</v>
      </c>
      <c r="C43" s="18" t="n">
        <f aca="false">AVERAGE(C12:K12)</f>
        <v>0.0961164940343881</v>
      </c>
    </row>
    <row r="44" customFormat="false" ht="15" hidden="false" customHeight="true" outlineLevel="0" collapsed="false">
      <c r="A44" s="17" t="s">
        <v>52</v>
      </c>
      <c r="C44" s="18" t="n">
        <f aca="false">AVERAGE(C14:K14)</f>
        <v>0.00553866046092291</v>
      </c>
    </row>
    <row r="45" customFormat="false" ht="15" hidden="false" customHeight="true" outlineLevel="0" collapsed="false">
      <c r="A45" s="17" t="s">
        <v>53</v>
      </c>
      <c r="C45" s="18" t="n">
        <f aca="false">AVERAGE(B19:K19)</f>
        <v>0.130011152559779</v>
      </c>
    </row>
    <row r="46" customFormat="false" ht="15" hidden="false" customHeight="true" outlineLevel="0" collapsed="false">
      <c r="A46" s="17" t="s">
        <v>54</v>
      </c>
      <c r="C46" s="18" t="n">
        <f aca="false">AVERAGE(C25:K25)</f>
        <v>0.0468999450717801</v>
      </c>
    </row>
    <row r="47" customFormat="false" ht="15" hidden="false" customHeight="true" outlineLevel="0" collapsed="false">
      <c r="A47" s="17" t="s">
        <v>55</v>
      </c>
      <c r="C47" s="18" t="n">
        <f aca="false">AVERAGE(B28:K28)</f>
        <v>-0.117683539122742</v>
      </c>
    </row>
    <row r="48" customFormat="false" ht="15" hidden="false" customHeight="true" outlineLevel="0" collapsed="false">
      <c r="A48" s="17" t="s">
        <v>56</v>
      </c>
      <c r="C48" s="19" t="n">
        <v>0.242</v>
      </c>
    </row>
    <row r="50" customFormat="false" ht="30" hidden="false" customHeight="true" outlineLevel="0" collapsed="false">
      <c r="A50" s="20" t="s">
        <v>57</v>
      </c>
      <c r="B50" s="20"/>
      <c r="C50" s="20"/>
      <c r="D50" s="20"/>
      <c r="E50" s="20"/>
      <c r="F50" s="20"/>
      <c r="G50" s="20"/>
      <c r="H50" s="20"/>
      <c r="I50" s="20"/>
      <c r="J50" s="20"/>
      <c r="K50" s="20"/>
      <c r="L50" s="20"/>
      <c r="M50" s="20"/>
      <c r="N50" s="20"/>
      <c r="O50" s="20"/>
      <c r="P50" s="20"/>
      <c r="Q50" s="20"/>
    </row>
    <row r="51" customFormat="false" ht="30" hidden="false" customHeight="true" outlineLevel="0" collapsed="false">
      <c r="A51" s="20" t="s">
        <v>58</v>
      </c>
      <c r="B51" s="20"/>
      <c r="C51" s="20"/>
      <c r="D51" s="20"/>
      <c r="E51" s="20"/>
      <c r="F51" s="20"/>
      <c r="G51" s="20"/>
      <c r="H51" s="20"/>
      <c r="I51" s="20"/>
      <c r="J51" s="20"/>
      <c r="K51" s="20"/>
      <c r="L51" s="20"/>
      <c r="M51" s="20"/>
      <c r="N51" s="20"/>
      <c r="O51" s="20"/>
      <c r="P51" s="20"/>
      <c r="Q51" s="20"/>
    </row>
    <row r="52" customFormat="false" ht="30" hidden="false" customHeight="true" outlineLevel="0" collapsed="false">
      <c r="A52" s="20" t="s">
        <v>59</v>
      </c>
      <c r="B52" s="20"/>
      <c r="C52" s="20"/>
      <c r="D52" s="20"/>
      <c r="E52" s="20"/>
      <c r="F52" s="20"/>
      <c r="G52" s="20"/>
      <c r="H52" s="20"/>
      <c r="I52" s="20"/>
      <c r="J52" s="20"/>
      <c r="K52" s="20"/>
      <c r="L52" s="20"/>
      <c r="M52" s="20"/>
      <c r="N52" s="20"/>
      <c r="O52" s="20"/>
      <c r="P52" s="20"/>
      <c r="Q52" s="20"/>
    </row>
    <row r="53" customFormat="false" ht="30" hidden="false" customHeight="true" outlineLevel="0" collapsed="false">
      <c r="A53" s="20" t="s">
        <v>60</v>
      </c>
      <c r="B53" s="20"/>
      <c r="C53" s="20"/>
      <c r="D53" s="20"/>
      <c r="E53" s="20"/>
      <c r="F53" s="20"/>
      <c r="G53" s="20"/>
      <c r="H53" s="20"/>
      <c r="I53" s="20"/>
      <c r="J53" s="20"/>
      <c r="K53" s="20"/>
      <c r="L53" s="20"/>
      <c r="M53" s="20"/>
      <c r="N53" s="20"/>
      <c r="O53" s="20"/>
      <c r="P53" s="20"/>
      <c r="Q53" s="20"/>
    </row>
    <row r="55" customFormat="false" ht="15" hidden="false" customHeight="true" outlineLevel="0" collapsed="false">
      <c r="A55" s="21" t="s">
        <v>61</v>
      </c>
      <c r="B55" s="22" t="n">
        <f aca="false">B33/B35</f>
        <v>2.83648315529992</v>
      </c>
      <c r="C55" s="22" t="n">
        <f aca="false">C33/C35</f>
        <v>8.98275862068966</v>
      </c>
      <c r="D55" s="22" t="n">
        <f aca="false">D33/D35</f>
        <v>-8.36095159967186</v>
      </c>
      <c r="E55" s="22" t="n">
        <f aca="false">E33/E35</f>
        <v>1.58476658476658</v>
      </c>
      <c r="F55" s="22" t="n">
        <f aca="false">F33/F35</f>
        <v>0.291087489779231</v>
      </c>
      <c r="G55" s="22" t="n">
        <f aca="false">G33/G35</f>
        <v>0.826797385620915</v>
      </c>
      <c r="H55" s="22" t="n">
        <f aca="false">H33/H35</f>
        <v>1.92740619902121</v>
      </c>
      <c r="I55" s="22" t="n">
        <f aca="false">I33/I35</f>
        <v>2.32681336593317</v>
      </c>
      <c r="J55" s="22" t="n">
        <f aca="false">J33/J35</f>
        <v>2.26776859504132</v>
      </c>
      <c r="K55" s="22" t="n">
        <f aca="false">K33/K35</f>
        <v>-4.92502106149958</v>
      </c>
      <c r="M55" s="22" t="n">
        <f aca="false">M33/M35</f>
        <v>2.86438731516768</v>
      </c>
      <c r="N55" s="22" t="n">
        <f aca="false">N33/N35</f>
        <v>2.83133531004904</v>
      </c>
      <c r="O55" s="22" t="n">
        <f aca="false">O33/O35</f>
        <v>2.79963213028968</v>
      </c>
      <c r="P55" s="22" t="n">
        <f aca="false">P33/P35</f>
        <v>2.76915957157903</v>
      </c>
      <c r="Q55" s="22" t="n">
        <f aca="false">Q33/Q35</f>
        <v>2.73981071942982</v>
      </c>
    </row>
  </sheetData>
  <mergeCells count="4">
    <mergeCell ref="A50:Q50"/>
    <mergeCell ref="A51:Q51"/>
    <mergeCell ref="A52:Q52"/>
    <mergeCell ref="A53:Q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46"/>
    <col collapsed="false" customWidth="true" hidden="false" outlineLevel="0" max="17" min="2" style="1" width="11"/>
  </cols>
  <sheetData>
    <row r="1" customFormat="false" ht="17.25" hidden="false" customHeight="true" outlineLevel="0" collapsed="false">
      <c r="A1" s="2" t="s">
        <v>62</v>
      </c>
    </row>
    <row r="2" customFormat="false" ht="15" hidden="false" customHeight="true" outlineLevel="0" collapsed="false">
      <c r="A2" s="3" t="s">
        <v>63</v>
      </c>
    </row>
    <row r="3" customFormat="false" ht="15" hidden="false" customHeight="true" outlineLevel="0" collapsed="false">
      <c r="B3" s="4" t="s">
        <v>2</v>
      </c>
      <c r="M3" s="4" t="s">
        <v>3</v>
      </c>
    </row>
    <row r="4" customFormat="false" ht="15" hidden="false" customHeight="true" outlineLevel="0" collapsed="false">
      <c r="B4" s="5" t="s">
        <v>4</v>
      </c>
      <c r="C4" s="5" t="s">
        <v>5</v>
      </c>
      <c r="D4" s="5" t="s">
        <v>6</v>
      </c>
      <c r="E4" s="5" t="s">
        <v>7</v>
      </c>
      <c r="F4" s="5" t="s">
        <v>8</v>
      </c>
      <c r="G4" s="5" t="s">
        <v>9</v>
      </c>
      <c r="H4" s="5" t="s">
        <v>10</v>
      </c>
      <c r="I4" s="5" t="s">
        <v>11</v>
      </c>
      <c r="J4" s="5" t="s">
        <v>12</v>
      </c>
      <c r="K4" s="5" t="s">
        <v>13</v>
      </c>
      <c r="M4" s="6" t="s">
        <v>14</v>
      </c>
      <c r="N4" s="6" t="s">
        <v>15</v>
      </c>
      <c r="O4" s="6" t="s">
        <v>16</v>
      </c>
      <c r="P4" s="6" t="s">
        <v>17</v>
      </c>
      <c r="Q4" s="6" t="s">
        <v>18</v>
      </c>
    </row>
    <row r="6" customFormat="false" ht="15" hidden="false" customHeight="true" outlineLevel="0" collapsed="false">
      <c r="A6" s="15" t="s">
        <v>64</v>
      </c>
      <c r="B6" s="16"/>
      <c r="C6" s="16"/>
      <c r="D6" s="16"/>
      <c r="E6" s="16"/>
      <c r="F6" s="16"/>
      <c r="G6" s="16"/>
      <c r="H6" s="16"/>
      <c r="I6" s="16"/>
      <c r="J6" s="16"/>
      <c r="K6" s="16"/>
      <c r="M6" s="16"/>
      <c r="N6" s="16"/>
      <c r="O6" s="16"/>
      <c r="P6" s="16"/>
      <c r="Q6" s="16"/>
    </row>
    <row r="7" customFormat="false" ht="15" hidden="false" customHeight="true" outlineLevel="0" collapsed="false">
      <c r="A7" s="3" t="s">
        <v>65</v>
      </c>
      <c r="B7" s="7" t="n">
        <v>4204</v>
      </c>
      <c r="C7" s="7" t="n">
        <v>1769</v>
      </c>
      <c r="D7" s="7" t="n">
        <v>1131</v>
      </c>
      <c r="E7" s="7" t="n">
        <v>2280</v>
      </c>
      <c r="F7" s="7" t="n">
        <v>3417</v>
      </c>
      <c r="G7" s="7" t="n">
        <v>3445</v>
      </c>
      <c r="H7" s="7" t="n">
        <v>1040</v>
      </c>
      <c r="I7" s="7" t="n">
        <v>1403</v>
      </c>
      <c r="J7" s="7" t="n">
        <v>1365</v>
      </c>
      <c r="K7" s="7" t="n">
        <v>3839</v>
      </c>
      <c r="M7" s="8" t="n">
        <f aca="false">M52-(M8+M10+M12+M18+M22+M24)</f>
        <v>5396.04473562469</v>
      </c>
      <c r="N7" s="8" t="n">
        <f aca="false">N52-(N8+N10+N12+N18+N22+N24)</f>
        <v>6344.56771912279</v>
      </c>
      <c r="O7" s="8" t="n">
        <f aca="false">O52-(O8+O10+O12+O18+O22+O24)</f>
        <v>7299.66801734222</v>
      </c>
      <c r="P7" s="8" t="n">
        <f aca="false">P52-(P8+P10+P12+P18+P22+P24)</f>
        <v>8260.01924188525</v>
      </c>
      <c r="Q7" s="8" t="n">
        <f aca="false">Q52-(Q8+Q10+Q12+Q18+Q22+Q24)</f>
        <v>9224.42676122833</v>
      </c>
    </row>
    <row r="8" customFormat="false" ht="15" hidden="false" customHeight="true" outlineLevel="0" collapsed="false">
      <c r="A8" s="3" t="s">
        <v>66</v>
      </c>
      <c r="B8" s="7" t="n">
        <v>898</v>
      </c>
      <c r="C8" s="7" t="n">
        <v>1274</v>
      </c>
      <c r="D8" s="7" t="n">
        <v>2129</v>
      </c>
      <c r="E8" s="7" t="n">
        <v>1973</v>
      </c>
      <c r="F8" s="7" t="n">
        <v>2063</v>
      </c>
      <c r="G8" s="7" t="n">
        <v>1957</v>
      </c>
      <c r="H8" s="7" t="n">
        <v>2120</v>
      </c>
      <c r="I8" s="7" t="n">
        <v>2112</v>
      </c>
      <c r="J8" s="7" t="n">
        <v>2147</v>
      </c>
      <c r="K8" s="7" t="n">
        <v>2254</v>
      </c>
      <c r="M8" s="11" t="n">
        <f aca="false">'Income Statement'!M6/M9</f>
        <v>1661.69688741801</v>
      </c>
      <c r="N8" s="11" t="n">
        <f aca="false">'Income Statement'!N6/N9</f>
        <v>1651.33972010155</v>
      </c>
      <c r="O8" s="11" t="n">
        <f aca="false">'Income Statement'!O6/O9</f>
        <v>1641.04710782857</v>
      </c>
      <c r="P8" s="11" t="n">
        <f aca="false">'Income Statement'!P6/P9</f>
        <v>1630.81864823485</v>
      </c>
      <c r="Q8" s="11" t="n">
        <f aca="false">'Income Statement'!Q6/Q9</f>
        <v>1620.65394146404</v>
      </c>
    </row>
    <row r="9" customFormat="false" ht="15" hidden="false" customHeight="true" outlineLevel="0" collapsed="false">
      <c r="A9" s="9" t="s">
        <v>67</v>
      </c>
      <c r="B9" s="23" t="n">
        <f aca="false">'Income Statement'!B6/B8</f>
        <v>29.488864142539</v>
      </c>
      <c r="C9" s="23" t="n">
        <f aca="false">'Income Statement'!C6/C8</f>
        <v>20.4678178963893</v>
      </c>
      <c r="D9" s="23" t="n">
        <f aca="false">'Income Statement'!D6/D8</f>
        <v>12.3381869422264</v>
      </c>
      <c r="E9" s="23" t="n">
        <f aca="false">'Income Statement'!E6/E8</f>
        <v>12.659401926001</v>
      </c>
      <c r="F9" s="23" t="n">
        <f aca="false">'Income Statement'!F6/F8</f>
        <v>12.6921958313136</v>
      </c>
      <c r="G9" s="23" t="n">
        <f aca="false">'Income Statement'!G6/G8</f>
        <v>13.3076136944303</v>
      </c>
      <c r="H9" s="23" t="n">
        <f aca="false">'Income Statement'!H6/H8</f>
        <v>12.4924528301887</v>
      </c>
      <c r="I9" s="23" t="n">
        <f aca="false">'Income Statement'!I6/I8</f>
        <v>12.6136363636364</v>
      </c>
      <c r="J9" s="23" t="n">
        <f aca="false">'Income Statement'!J6/J8</f>
        <v>12.0381928272007</v>
      </c>
      <c r="K9" s="23" t="n">
        <f aca="false">'Income Statement'!K6/K8</f>
        <v>11.0656610470275</v>
      </c>
      <c r="M9" s="24" t="n">
        <f aca="false">$C$60</f>
        <v>14.9164023500953</v>
      </c>
      <c r="N9" s="24" t="n">
        <f aca="false">$C$60</f>
        <v>14.9164023500953</v>
      </c>
      <c r="O9" s="24" t="n">
        <f aca="false">$C$60</f>
        <v>14.9164023500953</v>
      </c>
      <c r="P9" s="24" t="n">
        <f aca="false">$C$60</f>
        <v>14.9164023500953</v>
      </c>
      <c r="Q9" s="24" t="n">
        <f aca="false">$C$60</f>
        <v>14.9164023500953</v>
      </c>
    </row>
    <row r="10" customFormat="false" ht="15" hidden="false" customHeight="true" outlineLevel="0" collapsed="false">
      <c r="A10" s="3" t="s">
        <v>68</v>
      </c>
      <c r="B10" s="7" t="n">
        <v>2684</v>
      </c>
      <c r="C10" s="7" t="n">
        <v>2760</v>
      </c>
      <c r="D10" s="7" t="n">
        <v>2667</v>
      </c>
      <c r="E10" s="7" t="n">
        <v>2721</v>
      </c>
      <c r="F10" s="7" t="n">
        <v>2554</v>
      </c>
      <c r="G10" s="7" t="n">
        <v>2729</v>
      </c>
      <c r="H10" s="7" t="n">
        <v>3651</v>
      </c>
      <c r="I10" s="7" t="n">
        <v>3614</v>
      </c>
      <c r="J10" s="7" t="n">
        <v>3376</v>
      </c>
      <c r="K10" s="7" t="n">
        <v>3167</v>
      </c>
      <c r="M10" s="11" t="n">
        <f aca="false">'Income Statement'!M15/M11</f>
        <v>2814.26794295866</v>
      </c>
      <c r="N10" s="11" t="n">
        <f aca="false">'Income Statement'!N15/N11</f>
        <v>2799.97125623223</v>
      </c>
      <c r="O10" s="11" t="n">
        <f aca="false">'Income Statement'!O15/O11</f>
        <v>2785.45410700487</v>
      </c>
      <c r="P10" s="11" t="n">
        <f aca="false">'Income Statement'!P15/P11</f>
        <v>2770.74761185818</v>
      </c>
      <c r="Q10" s="11" t="n">
        <f aca="false">'Income Statement'!Q15/Q11</f>
        <v>2755.87983475568</v>
      </c>
    </row>
    <row r="11" customFormat="false" ht="15" hidden="false" customHeight="true" outlineLevel="0" collapsed="false">
      <c r="A11" s="9" t="s">
        <v>69</v>
      </c>
      <c r="B11" s="23" t="n">
        <f aca="false">'Income Statement'!B15/B10</f>
        <v>6.05067064083458</v>
      </c>
      <c r="C11" s="23" t="n">
        <f aca="false">'Income Statement'!C15/C10</f>
        <v>5.97826086956522</v>
      </c>
      <c r="D11" s="23" t="n">
        <f aca="false">'Income Statement'!D15/D10</f>
        <v>6.41357330333708</v>
      </c>
      <c r="E11" s="23" t="n">
        <f aca="false">'Income Statement'!E15/E10</f>
        <v>6.19184123484013</v>
      </c>
      <c r="F11" s="23" t="n">
        <f aca="false">'Income Statement'!F15/F10</f>
        <v>6.64761158966327</v>
      </c>
      <c r="G11" s="23" t="n">
        <f aca="false">'Income Statement'!G15/G10</f>
        <v>6.39648222792232</v>
      </c>
      <c r="H11" s="23" t="n">
        <f aca="false">'Income Statement'!H15/H10</f>
        <v>5.04327581484525</v>
      </c>
      <c r="I11" s="23" t="n">
        <f aca="false">'Income Statement'!I15/I10</f>
        <v>4.86303265080244</v>
      </c>
      <c r="J11" s="23" t="n">
        <f aca="false">'Income Statement'!J15/J10</f>
        <v>4.99318720379147</v>
      </c>
      <c r="K11" s="23" t="n">
        <f aca="false">'Income Statement'!K15/K10</f>
        <v>5.23113356488791</v>
      </c>
      <c r="M11" s="24" t="n">
        <f aca="false">$C$61</f>
        <v>5.78090691004897</v>
      </c>
      <c r="N11" s="24" t="n">
        <f aca="false">$C$61</f>
        <v>5.78090691004897</v>
      </c>
      <c r="O11" s="24" t="n">
        <f aca="false">$C$61</f>
        <v>5.78090691004897</v>
      </c>
      <c r="P11" s="24" t="n">
        <f aca="false">$C$61</f>
        <v>5.78090691004897</v>
      </c>
      <c r="Q11" s="24" t="n">
        <f aca="false">$C$61</f>
        <v>5.78090691004897</v>
      </c>
    </row>
    <row r="12" customFormat="false" ht="15" hidden="false" customHeight="true" outlineLevel="0" collapsed="false">
      <c r="A12" s="3" t="s">
        <v>70</v>
      </c>
      <c r="B12" s="7" t="n">
        <v>967</v>
      </c>
      <c r="C12" s="7" t="n">
        <v>1398</v>
      </c>
      <c r="D12" s="7" t="n">
        <v>3148</v>
      </c>
      <c r="E12" s="7" t="n">
        <v>1123</v>
      </c>
      <c r="F12" s="7" t="n">
        <v>2788</v>
      </c>
      <c r="G12" s="7" t="n">
        <v>863</v>
      </c>
      <c r="H12" s="7" t="n">
        <v>1086</v>
      </c>
      <c r="I12" s="7" t="n">
        <v>800</v>
      </c>
      <c r="J12" s="7" t="n">
        <v>767</v>
      </c>
      <c r="K12" s="7" t="n">
        <v>867</v>
      </c>
      <c r="M12" s="11" t="n">
        <f aca="false">'Income Statement'!M6*M13</f>
        <v>1313.73452380191</v>
      </c>
      <c r="N12" s="11" t="n">
        <f aca="false">'Income Statement'!N6*N13</f>
        <v>1305.54616624076</v>
      </c>
      <c r="O12" s="11" t="n">
        <f aca="false">'Income Statement'!O6*O13</f>
        <v>1297.40884577906</v>
      </c>
      <c r="P12" s="11" t="n">
        <f aca="false">'Income Statement'!P6*P13</f>
        <v>1289.3222443084</v>
      </c>
      <c r="Q12" s="11" t="n">
        <f aca="false">'Income Statement'!Q6*Q13</f>
        <v>1281.28604570308</v>
      </c>
    </row>
    <row r="13" customFormat="false" ht="15" hidden="false" customHeight="true" outlineLevel="0" collapsed="false">
      <c r="A13" s="9" t="s">
        <v>71</v>
      </c>
      <c r="B13" s="12" t="n">
        <f aca="false">B12/'Income Statement'!B6</f>
        <v>0.036516747856954</v>
      </c>
      <c r="C13" s="12" t="n">
        <f aca="false">C12/'Income Statement'!C6</f>
        <v>0.053612517257248</v>
      </c>
      <c r="D13" s="12" t="n">
        <f aca="false">D12/'Income Statement'!D6</f>
        <v>0.119841632404446</v>
      </c>
      <c r="E13" s="12" t="n">
        <f aca="false">E12/'Income Statement'!E6</f>
        <v>0.0449613644552989</v>
      </c>
      <c r="F13" s="12" t="n">
        <f aca="false">F12/'Income Statement'!F6</f>
        <v>0.106477238007944</v>
      </c>
      <c r="G13" s="12" t="n">
        <f aca="false">G12/'Income Statement'!G6</f>
        <v>0.033137503359828</v>
      </c>
      <c r="H13" s="12" t="n">
        <f aca="false">H12/'Income Statement'!H6</f>
        <v>0.0410058903488899</v>
      </c>
      <c r="I13" s="12" t="n">
        <f aca="false">I12/'Income Statement'!I6</f>
        <v>0.03003003003003</v>
      </c>
      <c r="J13" s="12" t="n">
        <f aca="false">J12/'Income Statement'!J6</f>
        <v>0.0296757718795945</v>
      </c>
      <c r="K13" s="12" t="n">
        <f aca="false">K12/'Income Statement'!K6</f>
        <v>0.034760644695694</v>
      </c>
      <c r="M13" s="10" t="n">
        <f aca="false">$C$64</f>
        <v>0.0530019340295928</v>
      </c>
      <c r="N13" s="10" t="n">
        <f aca="false">$C$64</f>
        <v>0.0530019340295928</v>
      </c>
      <c r="O13" s="10" t="n">
        <f aca="false">$C$64</f>
        <v>0.0530019340295928</v>
      </c>
      <c r="P13" s="10" t="n">
        <f aca="false">$C$64</f>
        <v>0.0530019340295928</v>
      </c>
      <c r="Q13" s="10" t="n">
        <f aca="false">$C$64</f>
        <v>0.0530019340295928</v>
      </c>
    </row>
    <row r="14" customFormat="false" ht="15" hidden="false" customHeight="true" outlineLevel="0" collapsed="false">
      <c r="A14" s="13" t="s">
        <v>72</v>
      </c>
      <c r="B14" s="8" t="n">
        <f aca="false">B7+B8+B10+B12</f>
        <v>8753</v>
      </c>
      <c r="C14" s="8" t="n">
        <f aca="false">C7+C8+C10+C12</f>
        <v>7201</v>
      </c>
      <c r="D14" s="8" t="n">
        <f aca="false">D7+D8+D10+D12</f>
        <v>9075</v>
      </c>
      <c r="E14" s="8" t="n">
        <f aca="false">E7+E8+E10+E12</f>
        <v>8097</v>
      </c>
      <c r="F14" s="8" t="n">
        <f aca="false">F7+F8+F10+F12</f>
        <v>10822</v>
      </c>
      <c r="G14" s="8" t="n">
        <f aca="false">G7+G8+G10+G12</f>
        <v>8994</v>
      </c>
      <c r="H14" s="8" t="n">
        <f aca="false">H7+H8+H10+H12</f>
        <v>7897</v>
      </c>
      <c r="I14" s="8" t="n">
        <f aca="false">I7+I8+I10+I12</f>
        <v>7929</v>
      </c>
      <c r="J14" s="8" t="n">
        <f aca="false">J7+J8+J10+J12</f>
        <v>7655</v>
      </c>
      <c r="K14" s="8" t="n">
        <f aca="false">K7+K8+K10+K12</f>
        <v>10127</v>
      </c>
      <c r="M14" s="8" t="n">
        <f aca="false">M7+M8+M10+M12</f>
        <v>11185.7440898033</v>
      </c>
      <c r="N14" s="8" t="n">
        <f aca="false">N7+N8+N10+N12</f>
        <v>12101.4248616973</v>
      </c>
      <c r="O14" s="8" t="n">
        <f aca="false">O7+O8+O10+O12</f>
        <v>13023.5780779547</v>
      </c>
      <c r="P14" s="8" t="n">
        <f aca="false">P7+P8+P10+P12</f>
        <v>13950.9077462867</v>
      </c>
      <c r="Q14" s="8" t="n">
        <f aca="false">Q7+Q8+Q10+Q12</f>
        <v>14882.2465831511</v>
      </c>
    </row>
    <row r="16" customFormat="false" ht="15" hidden="false" customHeight="true" outlineLevel="0" collapsed="false">
      <c r="A16" s="3" t="s">
        <v>73</v>
      </c>
      <c r="B16" s="7" t="n">
        <v>1247</v>
      </c>
      <c r="C16" s="7" t="n">
        <v>1194</v>
      </c>
      <c r="D16" s="7" t="n">
        <v>826</v>
      </c>
      <c r="E16" s="7" t="n">
        <v>768</v>
      </c>
      <c r="F16" s="7" t="n">
        <v>596</v>
      </c>
      <c r="G16" s="7" t="n">
        <v>905</v>
      </c>
      <c r="H16" s="7" t="n">
        <v>916</v>
      </c>
      <c r="I16" s="7" t="n">
        <v>1013</v>
      </c>
      <c r="J16" s="7" t="n">
        <v>1164</v>
      </c>
      <c r="K16" s="7" t="n">
        <v>801</v>
      </c>
      <c r="M16" s="11" t="n">
        <f aca="false">'Income Statement'!M6*M17</f>
        <v>898.135637529114</v>
      </c>
      <c r="N16" s="11" t="n">
        <f aca="false">'Income Statement'!N6*N17</f>
        <v>892.537660460493</v>
      </c>
      <c r="O16" s="11" t="n">
        <f aca="false">'Income Statement'!O6*O17</f>
        <v>886.974574944941</v>
      </c>
      <c r="P16" s="11" t="n">
        <f aca="false">'Income Statement'!P6*P17</f>
        <v>881.446163507387</v>
      </c>
      <c r="Q16" s="11" t="n">
        <f aca="false">'Income Statement'!Q6*Q17</f>
        <v>875.952210028252</v>
      </c>
    </row>
    <row r="17" customFormat="false" ht="15" hidden="false" customHeight="true" outlineLevel="0" collapsed="false">
      <c r="A17" s="9" t="s">
        <v>74</v>
      </c>
      <c r="B17" s="12" t="n">
        <f aca="false">B16/'Income Statement'!B6</f>
        <v>0.0470903666779955</v>
      </c>
      <c r="C17" s="12" t="n">
        <f aca="false">C16/'Income Statement'!C6</f>
        <v>0.0457892314772204</v>
      </c>
      <c r="D17" s="12" t="n">
        <f aca="false">D16/'Income Statement'!D6</f>
        <v>0.0314451043094259</v>
      </c>
      <c r="E17" s="12" t="n">
        <f aca="false">E16/'Income Statement'!E6</f>
        <v>0.0307482884253513</v>
      </c>
      <c r="F17" s="12" t="n">
        <f aca="false">F16/'Income Statement'!F6</f>
        <v>0.0227619920562175</v>
      </c>
      <c r="G17" s="12" t="n">
        <f aca="false">G16/'Income Statement'!G6</f>
        <v>0.0347502207886956</v>
      </c>
      <c r="H17" s="12" t="n">
        <f aca="false">H16/'Income Statement'!H6</f>
        <v>0.0345869204047727</v>
      </c>
      <c r="I17" s="12" t="n">
        <f aca="false">I16/'Income Statement'!I6</f>
        <v>0.0380255255255255</v>
      </c>
      <c r="J17" s="12" t="n">
        <f aca="false">J16/'Income Statement'!J6</f>
        <v>0.0450359823570378</v>
      </c>
      <c r="K17" s="12" t="n">
        <f aca="false">K16/'Income Statement'!K6</f>
        <v>0.0321145056531152</v>
      </c>
      <c r="M17" s="10" t="n">
        <f aca="false">$C$63</f>
        <v>0.0362348137675358</v>
      </c>
      <c r="N17" s="10" t="n">
        <f aca="false">$C$63</f>
        <v>0.0362348137675358</v>
      </c>
      <c r="O17" s="10" t="n">
        <f aca="false">$C$63</f>
        <v>0.0362348137675358</v>
      </c>
      <c r="P17" s="10" t="n">
        <f aca="false">$C$63</f>
        <v>0.0362348137675358</v>
      </c>
      <c r="Q17" s="10" t="n">
        <f aca="false">$C$63</f>
        <v>0.0362348137675358</v>
      </c>
    </row>
    <row r="18" customFormat="false" ht="15" hidden="false" customHeight="true" outlineLevel="0" collapsed="false">
      <c r="A18" s="13" t="s">
        <v>75</v>
      </c>
      <c r="B18" s="7" t="n">
        <v>6688</v>
      </c>
      <c r="C18" s="7" t="n">
        <v>7061</v>
      </c>
      <c r="D18" s="7" t="n">
        <v>7078</v>
      </c>
      <c r="E18" s="7" t="n">
        <v>7597</v>
      </c>
      <c r="F18" s="7" t="n">
        <v>7438</v>
      </c>
      <c r="G18" s="7" t="n">
        <v>7375</v>
      </c>
      <c r="H18" s="7" t="n">
        <v>7408</v>
      </c>
      <c r="I18" s="7" t="n">
        <v>7696</v>
      </c>
      <c r="J18" s="7" t="n">
        <v>7691</v>
      </c>
      <c r="K18" s="7" t="n">
        <v>7838</v>
      </c>
      <c r="M18" s="11" t="n">
        <f aca="false">K18+M16-'Income Statement'!M11</f>
        <v>7982.77455728758</v>
      </c>
      <c r="N18" s="11" t="n">
        <f aca="false">M18+N16-'Income Statement'!N11</f>
        <v>8108.03591463468</v>
      </c>
      <c r="O18" s="11" t="n">
        <f aca="false">N18+O16-'Income Statement'!O11</f>
        <v>8215.69450396003</v>
      </c>
      <c r="P18" s="11" t="n">
        <f aca="false">O18+P16-'Income Statement'!P11</f>
        <v>8307.47691568919</v>
      </c>
      <c r="Q18" s="11" t="n">
        <f aca="false">P18+Q16-'Income Statement'!Q11</f>
        <v>8384.94357030978</v>
      </c>
    </row>
    <row r="20" customFormat="false" ht="15" hidden="false" customHeight="true" outlineLevel="0" collapsed="false">
      <c r="A20" s="3" t="s">
        <v>76</v>
      </c>
      <c r="B20" s="7" t="n">
        <v>44125</v>
      </c>
      <c r="C20" s="7" t="n">
        <v>44825</v>
      </c>
      <c r="D20" s="7" t="n">
        <v>36503</v>
      </c>
      <c r="E20" s="7" t="n">
        <v>35546</v>
      </c>
      <c r="F20" s="7" t="n">
        <v>33089</v>
      </c>
      <c r="G20" s="7" t="n">
        <v>31296</v>
      </c>
      <c r="H20" s="7" t="n">
        <v>30833</v>
      </c>
      <c r="I20" s="7" t="n">
        <v>30459</v>
      </c>
      <c r="J20" s="7" t="n">
        <v>28673</v>
      </c>
      <c r="K20" s="7" t="n">
        <v>22179</v>
      </c>
      <c r="M20" s="8" t="n">
        <f aca="false">$K$20</f>
        <v>22179</v>
      </c>
      <c r="N20" s="8" t="n">
        <f aca="false">$K$20</f>
        <v>22179</v>
      </c>
      <c r="O20" s="8" t="n">
        <f aca="false">$K$20</f>
        <v>22179</v>
      </c>
      <c r="P20" s="8" t="n">
        <f aca="false">$K$20</f>
        <v>22179</v>
      </c>
      <c r="Q20" s="8" t="n">
        <f aca="false">$K$20</f>
        <v>22179</v>
      </c>
    </row>
    <row r="21" customFormat="false" ht="15" hidden="false" customHeight="true" outlineLevel="0" collapsed="false">
      <c r="A21" s="3" t="s">
        <v>77</v>
      </c>
      <c r="B21" s="7" t="n">
        <v>59297</v>
      </c>
      <c r="C21" s="7" t="n">
        <v>59432</v>
      </c>
      <c r="D21" s="7" t="n">
        <v>49468</v>
      </c>
      <c r="E21" s="7" t="n">
        <v>48652</v>
      </c>
      <c r="F21" s="7" t="n">
        <v>46667</v>
      </c>
      <c r="G21" s="7" t="n">
        <v>43542</v>
      </c>
      <c r="H21" s="7" t="n">
        <v>42649</v>
      </c>
      <c r="I21" s="7" t="n">
        <v>42448</v>
      </c>
      <c r="J21" s="7" t="n">
        <v>40099</v>
      </c>
      <c r="K21" s="7" t="n">
        <v>37529</v>
      </c>
      <c r="M21" s="11" t="n">
        <f aca="false">K21-'Income Statement'!M13</f>
        <v>37321.139611562</v>
      </c>
      <c r="N21" s="11" t="n">
        <f aca="false">M21-'Income Statement'!N13</f>
        <v>37114.4304912389</v>
      </c>
      <c r="O21" s="11" t="n">
        <f aca="false">N21-'Income Statement'!O13</f>
        <v>36908.8662625474</v>
      </c>
      <c r="P21" s="11" t="n">
        <f aca="false">O21-'Income Statement'!P13</f>
        <v>36704.4405843215</v>
      </c>
      <c r="Q21" s="11" t="n">
        <f aca="false">P21-'Income Statement'!Q13</f>
        <v>36501.1471505169</v>
      </c>
    </row>
    <row r="22" customFormat="false" ht="15" hidden="false" customHeight="true" outlineLevel="0" collapsed="false">
      <c r="A22" s="13" t="s">
        <v>78</v>
      </c>
      <c r="B22" s="8" t="n">
        <f aca="false">B20+B21</f>
        <v>103422</v>
      </c>
      <c r="C22" s="8" t="n">
        <f aca="false">C20+C21</f>
        <v>104257</v>
      </c>
      <c r="D22" s="8" t="n">
        <f aca="false">D20+D21</f>
        <v>85971</v>
      </c>
      <c r="E22" s="8" t="n">
        <f aca="false">E20+E21</f>
        <v>84198</v>
      </c>
      <c r="F22" s="8" t="n">
        <f aca="false">F20+F21</f>
        <v>79756</v>
      </c>
      <c r="G22" s="8" t="n">
        <f aca="false">G20+G21</f>
        <v>74838</v>
      </c>
      <c r="H22" s="8" t="n">
        <f aca="false">H20+H21</f>
        <v>73482</v>
      </c>
      <c r="I22" s="8" t="n">
        <f aca="false">I20+I21</f>
        <v>72907</v>
      </c>
      <c r="J22" s="8" t="n">
        <f aca="false">J20+J21</f>
        <v>68772</v>
      </c>
      <c r="K22" s="8" t="n">
        <f aca="false">K20+K21</f>
        <v>59708</v>
      </c>
      <c r="M22" s="8" t="n">
        <f aca="false">M20+M21</f>
        <v>59500.139611562</v>
      </c>
      <c r="N22" s="8" t="n">
        <f aca="false">N20+N21</f>
        <v>59293.4304912389</v>
      </c>
      <c r="O22" s="8" t="n">
        <f aca="false">O20+O21</f>
        <v>59087.8662625474</v>
      </c>
      <c r="P22" s="8" t="n">
        <f aca="false">P20+P21</f>
        <v>58883.4405843215</v>
      </c>
      <c r="Q22" s="8" t="n">
        <f aca="false">Q20+Q21</f>
        <v>58680.1471505169</v>
      </c>
    </row>
    <row r="24" customFormat="false" ht="15" hidden="false" customHeight="true" outlineLevel="0" collapsed="false">
      <c r="A24" s="3" t="s">
        <v>79</v>
      </c>
      <c r="B24" s="7" t="n">
        <v>1617</v>
      </c>
      <c r="C24" s="7" t="n">
        <v>1573</v>
      </c>
      <c r="D24" s="7" t="n">
        <v>1337</v>
      </c>
      <c r="E24" s="7" t="n">
        <v>1558</v>
      </c>
      <c r="F24" s="7" t="n">
        <v>1814</v>
      </c>
      <c r="G24" s="7" t="n">
        <v>2187</v>
      </c>
      <c r="H24" s="7" t="n">
        <v>1726</v>
      </c>
      <c r="I24" s="7" t="n">
        <v>1807</v>
      </c>
      <c r="J24" s="7" t="n">
        <v>4169</v>
      </c>
      <c r="K24" s="7" t="n">
        <v>4113</v>
      </c>
      <c r="M24" s="8" t="n">
        <f aca="false">$K$24</f>
        <v>4113</v>
      </c>
      <c r="N24" s="8" t="n">
        <f aca="false">$K$24</f>
        <v>4113</v>
      </c>
      <c r="O24" s="8" t="n">
        <f aca="false">$K$24</f>
        <v>4113</v>
      </c>
      <c r="P24" s="8" t="n">
        <f aca="false">$K$24</f>
        <v>4113</v>
      </c>
      <c r="Q24" s="8" t="n">
        <f aca="false">$K$24</f>
        <v>4113</v>
      </c>
    </row>
    <row r="26" customFormat="false" ht="15" hidden="false" customHeight="true" outlineLevel="0" collapsed="false">
      <c r="A26" s="15" t="s">
        <v>80</v>
      </c>
      <c r="B26" s="25" t="n">
        <f aca="false">B14+B18+B22+B24</f>
        <v>120480</v>
      </c>
      <c r="C26" s="25" t="n">
        <f aca="false">C14+C18+C22+C24</f>
        <v>120092</v>
      </c>
      <c r="D26" s="25" t="n">
        <f aca="false">D14+D18+D22+D24</f>
        <v>103461</v>
      </c>
      <c r="E26" s="25" t="n">
        <f aca="false">E14+E18+E22+E24</f>
        <v>101450</v>
      </c>
      <c r="F26" s="25" t="n">
        <f aca="false">F14+F18+F22+F24</f>
        <v>99830</v>
      </c>
      <c r="G26" s="25" t="n">
        <f aca="false">G14+G18+G22+G24</f>
        <v>93394</v>
      </c>
      <c r="H26" s="25" t="n">
        <f aca="false">H14+H18+H22+H24</f>
        <v>90513</v>
      </c>
      <c r="I26" s="25" t="n">
        <f aca="false">I14+I18+I22+I24</f>
        <v>90339</v>
      </c>
      <c r="J26" s="25" t="n">
        <f aca="false">J14+J18+J22+J24</f>
        <v>88287</v>
      </c>
      <c r="K26" s="25" t="n">
        <f aca="false">K14+K18+K22+K24</f>
        <v>81786</v>
      </c>
      <c r="M26" s="25" t="n">
        <f aca="false">M14+M18+M22+M24</f>
        <v>82781.6582586529</v>
      </c>
      <c r="N26" s="25" t="n">
        <f aca="false">N14+N18+N22+N24</f>
        <v>83615.8912675709</v>
      </c>
      <c r="O26" s="25" t="n">
        <f aca="false">O14+O18+O22+O24</f>
        <v>84440.1388444621</v>
      </c>
      <c r="P26" s="25" t="n">
        <f aca="false">P14+P18+P22+P24</f>
        <v>85254.8252462974</v>
      </c>
      <c r="Q26" s="25" t="n">
        <f aca="false">Q14+Q18+Q22+Q24</f>
        <v>86060.3373039778</v>
      </c>
    </row>
    <row r="28" customFormat="false" ht="15" hidden="false" customHeight="true" outlineLevel="0" collapsed="false">
      <c r="A28" s="15" t="s">
        <v>81</v>
      </c>
      <c r="B28" s="16"/>
      <c r="C28" s="16"/>
      <c r="D28" s="16"/>
      <c r="E28" s="16"/>
      <c r="F28" s="16"/>
      <c r="G28" s="16"/>
      <c r="H28" s="16"/>
      <c r="I28" s="16"/>
      <c r="J28" s="16"/>
      <c r="K28" s="16"/>
      <c r="M28" s="16"/>
      <c r="N28" s="16"/>
      <c r="O28" s="16"/>
      <c r="P28" s="16"/>
      <c r="Q28" s="16"/>
    </row>
    <row r="29" customFormat="false" ht="15" hidden="false" customHeight="true" outlineLevel="0" collapsed="false">
      <c r="A29" s="3" t="s">
        <v>82</v>
      </c>
      <c r="B29" s="7" t="n">
        <v>3996</v>
      </c>
      <c r="C29" s="7" t="n">
        <v>4362</v>
      </c>
      <c r="D29" s="7" t="n">
        <v>4153</v>
      </c>
      <c r="E29" s="7" t="n">
        <v>4003</v>
      </c>
      <c r="F29" s="7" t="n">
        <v>4304</v>
      </c>
      <c r="G29" s="7" t="n">
        <v>4753</v>
      </c>
      <c r="H29" s="7" t="n">
        <v>4848</v>
      </c>
      <c r="I29" s="7" t="n">
        <v>4627</v>
      </c>
      <c r="J29" s="7" t="n">
        <v>4188</v>
      </c>
      <c r="K29" s="7" t="n">
        <v>4308</v>
      </c>
      <c r="M29" s="11" t="n">
        <f aca="false">'Income Statement'!M15/M30</f>
        <v>4144.05052526252</v>
      </c>
      <c r="N29" s="11" t="n">
        <f aca="false">'Income Statement'!N15/N30</f>
        <v>4122.99844588025</v>
      </c>
      <c r="O29" s="11" t="n">
        <f aca="false">'Income Statement'!O15/O30</f>
        <v>4101.62173225513</v>
      </c>
      <c r="P29" s="11" t="n">
        <f aca="false">'Income Statement'!P15/P30</f>
        <v>4079.9662040067</v>
      </c>
      <c r="Q29" s="11" t="n">
        <f aca="false">'Income Statement'!Q15/Q30</f>
        <v>4058.07318572986</v>
      </c>
    </row>
    <row r="30" customFormat="false" ht="15" hidden="false" customHeight="true" outlineLevel="0" collapsed="false">
      <c r="A30" s="9" t="s">
        <v>83</v>
      </c>
      <c r="B30" s="23" t="n">
        <f aca="false">'Income Statement'!B15/B29</f>
        <v>4.06406406406406</v>
      </c>
      <c r="C30" s="23" t="n">
        <f aca="false">'Income Statement'!C15/C29</f>
        <v>3.78266850068776</v>
      </c>
      <c r="D30" s="23" t="n">
        <f aca="false">'Income Statement'!D15/D29</f>
        <v>4.11870936672285</v>
      </c>
      <c r="E30" s="23" t="n">
        <f aca="false">'Income Statement'!E15/E29</f>
        <v>4.20884336747439</v>
      </c>
      <c r="F30" s="23" t="n">
        <f aca="false">'Income Statement'!F15/F29</f>
        <v>3.94470260223048</v>
      </c>
      <c r="G30" s="23" t="n">
        <f aca="false">'Income Statement'!G15/G29</f>
        <v>3.6726278140122</v>
      </c>
      <c r="H30" s="23" t="n">
        <f aca="false">'Income Statement'!H15/H29</f>
        <v>3.79806105610561</v>
      </c>
      <c r="I30" s="23" t="n">
        <f aca="false">'Income Statement'!I15/I29</f>
        <v>3.79835746704128</v>
      </c>
      <c r="J30" s="23" t="n">
        <f aca="false">'Income Statement'!J15/J29</f>
        <v>4.02507163323782</v>
      </c>
      <c r="K30" s="23" t="n">
        <f aca="false">'Income Statement'!K15/K29</f>
        <v>3.84563602599814</v>
      </c>
      <c r="M30" s="24" t="n">
        <f aca="false">$C$62</f>
        <v>3.92587418975746</v>
      </c>
      <c r="N30" s="24" t="n">
        <f aca="false">$C$62</f>
        <v>3.92587418975746</v>
      </c>
      <c r="O30" s="24" t="n">
        <f aca="false">$C$62</f>
        <v>3.92587418975746</v>
      </c>
      <c r="P30" s="24" t="n">
        <f aca="false">$C$62</f>
        <v>3.92587418975746</v>
      </c>
      <c r="Q30" s="24" t="n">
        <f aca="false">$C$62</f>
        <v>3.92587418975746</v>
      </c>
    </row>
    <row r="31" customFormat="false" ht="15" hidden="false" customHeight="true" outlineLevel="0" collapsed="false">
      <c r="A31" s="3" t="s">
        <v>84</v>
      </c>
      <c r="B31" s="7" t="n">
        <v>2691</v>
      </c>
      <c r="C31" s="7" t="n">
        <v>3195</v>
      </c>
      <c r="D31" s="7" t="n">
        <v>398</v>
      </c>
      <c r="E31" s="7" t="n">
        <v>1175</v>
      </c>
      <c r="F31" s="7" t="n">
        <v>371</v>
      </c>
      <c r="G31" s="7" t="n">
        <v>887</v>
      </c>
      <c r="H31" s="7" t="n">
        <v>962</v>
      </c>
      <c r="I31" s="7" t="n">
        <v>754</v>
      </c>
      <c r="J31" s="7" t="n">
        <v>771</v>
      </c>
      <c r="K31" s="7" t="n">
        <v>2034</v>
      </c>
      <c r="M31" s="8" t="n">
        <f aca="false">$K$31</f>
        <v>2034</v>
      </c>
      <c r="N31" s="8" t="n">
        <f aca="false">$K$31</f>
        <v>2034</v>
      </c>
      <c r="O31" s="8" t="n">
        <f aca="false">$K$31</f>
        <v>2034</v>
      </c>
      <c r="P31" s="8" t="n">
        <f aca="false">$K$31</f>
        <v>2034</v>
      </c>
      <c r="Q31" s="8" t="n">
        <f aca="false">$K$31</f>
        <v>2034</v>
      </c>
    </row>
    <row r="32" customFormat="false" ht="15" hidden="false" customHeight="true" outlineLevel="0" collapsed="false">
      <c r="A32" s="3" t="s">
        <v>85</v>
      </c>
      <c r="B32" s="7" t="n">
        <v>2814</v>
      </c>
      <c r="C32" s="7" t="n">
        <v>2597</v>
      </c>
      <c r="D32" s="7" t="n">
        <v>2952</v>
      </c>
      <c r="E32" s="7" t="n">
        <v>2697</v>
      </c>
      <c r="F32" s="7" t="n">
        <v>3386</v>
      </c>
      <c r="G32" s="7" t="n">
        <v>3424</v>
      </c>
      <c r="H32" s="7" t="n">
        <v>3218</v>
      </c>
      <c r="I32" s="7" t="n">
        <v>2656</v>
      </c>
      <c r="J32" s="7" t="n">
        <v>2294</v>
      </c>
      <c r="K32" s="7" t="n">
        <v>2436</v>
      </c>
      <c r="M32" s="11" t="n">
        <f aca="false">'Income Statement'!M6*M33</f>
        <v>2713.2296826988</v>
      </c>
      <c r="N32" s="11" t="n">
        <f aca="false">'Income Statement'!N6*N33</f>
        <v>2696.31843131205</v>
      </c>
      <c r="O32" s="11" t="n">
        <f aca="false">'Income Statement'!O6*O33</f>
        <v>2679.51258582783</v>
      </c>
      <c r="P32" s="11" t="n">
        <f aca="false">'Income Statement'!P6*P33</f>
        <v>2662.81148926316</v>
      </c>
      <c r="Q32" s="11" t="n">
        <f aca="false">'Income Statement'!Q6*Q33</f>
        <v>2646.21448872996</v>
      </c>
    </row>
    <row r="33" customFormat="false" ht="15" hidden="false" customHeight="true" outlineLevel="0" collapsed="false">
      <c r="A33" s="9" t="s">
        <v>86</v>
      </c>
      <c r="B33" s="12" t="n">
        <f aca="false">B32/'Income Statement'!B6</f>
        <v>0.106264869151467</v>
      </c>
      <c r="C33" s="12" t="n">
        <f aca="false">C32/'Income Statement'!C6</f>
        <v>0.0995934959349594</v>
      </c>
      <c r="D33" s="12" t="n">
        <f aca="false">D32/'Income Statement'!D6</f>
        <v>0.112380082229328</v>
      </c>
      <c r="E33" s="12" t="n">
        <f aca="false">E32/'Income Statement'!E6</f>
        <v>0.107979340993714</v>
      </c>
      <c r="F33" s="12" t="n">
        <f aca="false">F32/'Income Statement'!F6</f>
        <v>0.12931561258784</v>
      </c>
      <c r="G33" s="12" t="n">
        <f aca="false">G32/'Income Statement'!G6</f>
        <v>0.131474868486733</v>
      </c>
      <c r="H33" s="12" t="n">
        <f aca="false">H32/'Income Statement'!H6</f>
        <v>0.121507325177466</v>
      </c>
      <c r="I33" s="12" t="n">
        <f aca="false">I32/'Income Statement'!I6</f>
        <v>0.0996996996996997</v>
      </c>
      <c r="J33" s="12" t="n">
        <f aca="false">J32/'Income Statement'!J6</f>
        <v>0.0887564806933375</v>
      </c>
      <c r="K33" s="12" t="n">
        <f aca="false">K32/'Income Statement'!K6</f>
        <v>0.0976665864806351</v>
      </c>
      <c r="M33" s="10" t="n">
        <f aca="false">$C$65</f>
        <v>0.109463836143518</v>
      </c>
      <c r="N33" s="10" t="n">
        <f aca="false">$C$65</f>
        <v>0.109463836143518</v>
      </c>
      <c r="O33" s="10" t="n">
        <f aca="false">$C$65</f>
        <v>0.109463836143518</v>
      </c>
      <c r="P33" s="10" t="n">
        <f aca="false">$C$65</f>
        <v>0.109463836143518</v>
      </c>
      <c r="Q33" s="10" t="n">
        <f aca="false">$C$65</f>
        <v>0.109463836143518</v>
      </c>
    </row>
    <row r="34" customFormat="false" ht="15" hidden="false" customHeight="true" outlineLevel="0" collapsed="false">
      <c r="A34" s="13" t="s">
        <v>87</v>
      </c>
      <c r="B34" s="8" t="n">
        <f aca="false">B29+B31+B32</f>
        <v>9501</v>
      </c>
      <c r="C34" s="8" t="n">
        <f aca="false">C29+C31+C32</f>
        <v>10154</v>
      </c>
      <c r="D34" s="8" t="n">
        <f aca="false">D29+D31+D32</f>
        <v>7503</v>
      </c>
      <c r="E34" s="8" t="n">
        <f aca="false">E29+E31+E32</f>
        <v>7875</v>
      </c>
      <c r="F34" s="8" t="n">
        <f aca="false">F29+F31+F32</f>
        <v>8061</v>
      </c>
      <c r="G34" s="8" t="n">
        <f aca="false">G29+G31+G32</f>
        <v>9064</v>
      </c>
      <c r="H34" s="8" t="n">
        <f aca="false">H29+H31+H32</f>
        <v>9028</v>
      </c>
      <c r="I34" s="8" t="n">
        <f aca="false">I29+I31+I32</f>
        <v>8037</v>
      </c>
      <c r="J34" s="8" t="n">
        <f aca="false">J29+J31+J32</f>
        <v>7253</v>
      </c>
      <c r="K34" s="8" t="n">
        <f aca="false">K29+K31+K32</f>
        <v>8778</v>
      </c>
      <c r="M34" s="8" t="n">
        <f aca="false">M29+M31+M32</f>
        <v>8891.28020796132</v>
      </c>
      <c r="N34" s="8" t="n">
        <f aca="false">N29+N31+N32</f>
        <v>8853.31687719229</v>
      </c>
      <c r="O34" s="8" t="n">
        <f aca="false">O29+O31+O32</f>
        <v>8815.13431808296</v>
      </c>
      <c r="P34" s="8" t="n">
        <f aca="false">P29+P31+P32</f>
        <v>8776.77769326986</v>
      </c>
      <c r="Q34" s="8" t="n">
        <f aca="false">Q29+Q31+Q32</f>
        <v>8738.28767445982</v>
      </c>
    </row>
    <row r="36" customFormat="false" ht="15" hidden="false" customHeight="true" outlineLevel="0" collapsed="false">
      <c r="A36" s="3" t="s">
        <v>88</v>
      </c>
      <c r="B36" s="7" t="n">
        <v>29713</v>
      </c>
      <c r="C36" s="7" t="n">
        <v>28308</v>
      </c>
      <c r="D36" s="7" t="n">
        <v>30770</v>
      </c>
      <c r="E36" s="7" t="n">
        <v>28670</v>
      </c>
      <c r="F36" s="7" t="n">
        <v>28545</v>
      </c>
      <c r="G36" s="7" t="n">
        <v>21545</v>
      </c>
      <c r="H36" s="7" t="n">
        <v>19818</v>
      </c>
      <c r="I36" s="7" t="n">
        <v>19895</v>
      </c>
      <c r="J36" s="7" t="n">
        <v>19679</v>
      </c>
      <c r="K36" s="7" t="n">
        <v>19738</v>
      </c>
      <c r="M36" s="8" t="n">
        <f aca="false">$K$36</f>
        <v>19738</v>
      </c>
      <c r="N36" s="8" t="n">
        <f aca="false">$K$36</f>
        <v>19738</v>
      </c>
      <c r="O36" s="8" t="n">
        <f aca="false">$K$36</f>
        <v>19738</v>
      </c>
      <c r="P36" s="8" t="n">
        <f aca="false">$K$36</f>
        <v>19738</v>
      </c>
      <c r="Q36" s="8" t="n">
        <f aca="false">$K$36</f>
        <v>19738</v>
      </c>
    </row>
    <row r="37" customFormat="false" ht="15" hidden="false" customHeight="true" outlineLevel="0" collapsed="false">
      <c r="A37" s="3" t="s">
        <v>89</v>
      </c>
      <c r="B37" s="7" t="n">
        <v>20848</v>
      </c>
      <c r="C37" s="7" t="n">
        <v>14039</v>
      </c>
      <c r="D37" s="7" t="n">
        <v>12202</v>
      </c>
      <c r="E37" s="7" t="n">
        <v>11878</v>
      </c>
      <c r="F37" s="7" t="n">
        <v>11462</v>
      </c>
      <c r="G37" s="7" t="n">
        <v>10536</v>
      </c>
      <c r="H37" s="7" t="n">
        <v>10152</v>
      </c>
      <c r="I37" s="7" t="n">
        <v>10201</v>
      </c>
      <c r="J37" s="7" t="n">
        <v>9679</v>
      </c>
      <c r="K37" s="7" t="n">
        <v>9022</v>
      </c>
      <c r="M37" s="8" t="n">
        <f aca="false">$K$37</f>
        <v>9022</v>
      </c>
      <c r="N37" s="8" t="n">
        <f aca="false">$K$37</f>
        <v>9022</v>
      </c>
      <c r="O37" s="8" t="n">
        <f aca="false">$K$37</f>
        <v>9022</v>
      </c>
      <c r="P37" s="8" t="n">
        <f aca="false">$K$37</f>
        <v>9022</v>
      </c>
      <c r="Q37" s="8" t="n">
        <f aca="false">$K$37</f>
        <v>9022</v>
      </c>
    </row>
    <row r="38" customFormat="false" ht="15" hidden="false" customHeight="true" outlineLevel="0" collapsed="false">
      <c r="A38" s="3" t="s">
        <v>90</v>
      </c>
      <c r="B38" s="7" t="n">
        <v>2844</v>
      </c>
      <c r="C38" s="7" t="n">
        <v>1515</v>
      </c>
      <c r="D38" s="7" t="n">
        <v>1208</v>
      </c>
      <c r="E38" s="7" t="n">
        <v>1278</v>
      </c>
      <c r="F38" s="7" t="n">
        <v>1519</v>
      </c>
      <c r="G38" s="7" t="n">
        <v>2797</v>
      </c>
      <c r="H38" s="7" t="n">
        <v>2645</v>
      </c>
      <c r="I38" s="7" t="n">
        <v>2484</v>
      </c>
      <c r="J38" s="7" t="n">
        <v>2351</v>
      </c>
      <c r="K38" s="7" t="n">
        <v>2459</v>
      </c>
      <c r="M38" s="8" t="n">
        <f aca="false">$K$38</f>
        <v>2459</v>
      </c>
      <c r="N38" s="8" t="n">
        <f aca="false">$K$38</f>
        <v>2459</v>
      </c>
      <c r="O38" s="8" t="n">
        <f aca="false">$K$38</f>
        <v>2459</v>
      </c>
      <c r="P38" s="8" t="n">
        <f aca="false">$K$38</f>
        <v>2459</v>
      </c>
      <c r="Q38" s="8" t="n">
        <f aca="false">$K$38</f>
        <v>2459</v>
      </c>
    </row>
    <row r="39" customFormat="false" ht="15" hidden="false" customHeight="true" outlineLevel="0" collapsed="false">
      <c r="A39" s="15" t="s">
        <v>91</v>
      </c>
      <c r="B39" s="25" t="n">
        <f aca="false">B34+B36+B37+B38</f>
        <v>62906</v>
      </c>
      <c r="C39" s="25" t="n">
        <f aca="false">C34+C36+C37+C38</f>
        <v>54016</v>
      </c>
      <c r="D39" s="25" t="n">
        <f aca="false">D34+D36+D37+D38</f>
        <v>51683</v>
      </c>
      <c r="E39" s="25" t="n">
        <f aca="false">E34+E36+E37+E38</f>
        <v>49701</v>
      </c>
      <c r="F39" s="25" t="n">
        <f aca="false">F34+F36+F37+F38</f>
        <v>49587</v>
      </c>
      <c r="G39" s="25" t="n">
        <f aca="false">G34+G36+G37+G38</f>
        <v>43942</v>
      </c>
      <c r="H39" s="25" t="n">
        <f aca="false">H34+H36+H37+H38</f>
        <v>41643</v>
      </c>
      <c r="I39" s="25" t="n">
        <f aca="false">I34+I36+I37+I38</f>
        <v>40617</v>
      </c>
      <c r="J39" s="25" t="n">
        <f aca="false">J34+J36+J37+J38</f>
        <v>38962</v>
      </c>
      <c r="K39" s="25" t="n">
        <f aca="false">K34+K36+K37+K38</f>
        <v>39997</v>
      </c>
      <c r="M39" s="25" t="n">
        <f aca="false">M34+M36+M37+M38</f>
        <v>40110.2802079613</v>
      </c>
      <c r="N39" s="25" t="n">
        <f aca="false">N34+N36+N37+N38</f>
        <v>40072.3168771923</v>
      </c>
      <c r="O39" s="25" t="n">
        <f aca="false">O34+O36+O37+O38</f>
        <v>40034.134318083</v>
      </c>
      <c r="P39" s="25" t="n">
        <f aca="false">P34+P36+P37+P38</f>
        <v>39995.7776932699</v>
      </c>
      <c r="Q39" s="25" t="n">
        <f aca="false">Q34+Q36+Q37+Q38</f>
        <v>39957.2876744598</v>
      </c>
    </row>
    <row r="41" customFormat="false" ht="15" hidden="false" customHeight="true" outlineLevel="0" collapsed="false">
      <c r="A41" s="15" t="s">
        <v>92</v>
      </c>
      <c r="B41" s="16"/>
      <c r="C41" s="16"/>
      <c r="D41" s="16"/>
      <c r="E41" s="16"/>
      <c r="F41" s="16"/>
      <c r="G41" s="16"/>
      <c r="H41" s="16"/>
      <c r="I41" s="16"/>
      <c r="J41" s="16"/>
      <c r="K41" s="16"/>
      <c r="M41" s="16"/>
      <c r="N41" s="16"/>
      <c r="O41" s="16"/>
      <c r="P41" s="16"/>
      <c r="Q41" s="16"/>
    </row>
    <row r="42" customFormat="false" ht="15" hidden="false" customHeight="true" outlineLevel="0" collapsed="false">
      <c r="A42" s="3" t="s">
        <v>93</v>
      </c>
      <c r="B42" s="7" t="n">
        <v>12</v>
      </c>
      <c r="C42" s="7" t="n">
        <v>12</v>
      </c>
      <c r="D42" s="7" t="n">
        <v>12</v>
      </c>
      <c r="E42" s="7" t="n">
        <v>12</v>
      </c>
      <c r="F42" s="7" t="n">
        <v>12</v>
      </c>
      <c r="G42" s="7" t="n">
        <v>12</v>
      </c>
      <c r="H42" s="7" t="n">
        <v>12</v>
      </c>
      <c r="I42" s="7" t="n">
        <v>12</v>
      </c>
      <c r="J42" s="7" t="n">
        <v>12</v>
      </c>
      <c r="K42" s="7" t="n">
        <v>12</v>
      </c>
      <c r="M42" s="8" t="n">
        <f aca="false">$K$42</f>
        <v>12</v>
      </c>
      <c r="N42" s="8" t="n">
        <f aca="false">$K$42</f>
        <v>12</v>
      </c>
      <c r="O42" s="8" t="n">
        <f aca="false">$K$42</f>
        <v>12</v>
      </c>
      <c r="P42" s="8" t="n">
        <f aca="false">$K$42</f>
        <v>12</v>
      </c>
      <c r="Q42" s="8" t="n">
        <f aca="false">$K$42</f>
        <v>12</v>
      </c>
    </row>
    <row r="43" customFormat="false" ht="15" hidden="false" customHeight="true" outlineLevel="0" collapsed="false">
      <c r="A43" s="3" t="s">
        <v>94</v>
      </c>
      <c r="B43" s="7" t="n">
        <v>58593</v>
      </c>
      <c r="C43" s="7" t="n">
        <v>58634</v>
      </c>
      <c r="D43" s="7" t="n">
        <v>58723</v>
      </c>
      <c r="E43" s="7" t="n">
        <v>56828</v>
      </c>
      <c r="F43" s="7" t="n">
        <v>55096</v>
      </c>
      <c r="G43" s="7" t="n">
        <v>53379</v>
      </c>
      <c r="H43" s="7" t="n">
        <v>51834</v>
      </c>
      <c r="I43" s="7" t="n">
        <v>52037</v>
      </c>
      <c r="J43" s="7" t="n">
        <v>52135</v>
      </c>
      <c r="K43" s="7" t="n">
        <v>51287</v>
      </c>
      <c r="M43" s="8" t="n">
        <f aca="false">$K$43</f>
        <v>51287</v>
      </c>
      <c r="N43" s="8" t="n">
        <f aca="false">$K$43</f>
        <v>51287</v>
      </c>
      <c r="O43" s="8" t="n">
        <f aca="false">$K$43</f>
        <v>51287</v>
      </c>
      <c r="P43" s="8" t="n">
        <f aca="false">$K$43</f>
        <v>51287</v>
      </c>
      <c r="Q43" s="8" t="n">
        <f aca="false">$K$43</f>
        <v>51287</v>
      </c>
    </row>
    <row r="44" customFormat="false" ht="15" hidden="false" customHeight="true" outlineLevel="0" collapsed="false">
      <c r="A44" s="3" t="s">
        <v>95</v>
      </c>
      <c r="B44" s="7" t="n">
        <v>588</v>
      </c>
      <c r="C44" s="7" t="n">
        <v>8495</v>
      </c>
      <c r="D44" s="7" t="n">
        <v>-4853</v>
      </c>
      <c r="E44" s="7" t="n">
        <v>-3060</v>
      </c>
      <c r="F44" s="7" t="n">
        <v>-2694</v>
      </c>
      <c r="G44" s="7" t="n">
        <v>-1682</v>
      </c>
      <c r="H44" s="7" t="n">
        <v>489</v>
      </c>
      <c r="I44" s="7" t="n">
        <v>1367</v>
      </c>
      <c r="J44" s="7" t="n">
        <v>2171</v>
      </c>
      <c r="K44" s="7" t="n">
        <v>-4629</v>
      </c>
      <c r="M44" s="11" t="n">
        <f aca="false">K44+'Income Statement'!M33-M56</f>
        <v>-3746.62194930845</v>
      </c>
      <c r="N44" s="11" t="n">
        <f aca="false">M44+'Income Statement'!N33-N56</f>
        <v>-2874.42560962141</v>
      </c>
      <c r="O44" s="11" t="n">
        <f aca="false">N44+'Income Statement'!O33-O56</f>
        <v>-2011.99547362082</v>
      </c>
      <c r="P44" s="11" t="n">
        <f aca="false">O44+'Income Statement'!P33-P56</f>
        <v>-1158.95244697247</v>
      </c>
      <c r="Q44" s="11" t="n">
        <f aca="false">P44+'Income Statement'!Q33-Q56</f>
        <v>-314.950370482067</v>
      </c>
    </row>
    <row r="45" customFormat="false" ht="15" hidden="false" customHeight="true" outlineLevel="0" collapsed="false">
      <c r="A45" s="3" t="s">
        <v>96</v>
      </c>
      <c r="B45" s="7" t="n">
        <v>-2412</v>
      </c>
      <c r="C45" s="7" t="n">
        <v>-1587</v>
      </c>
      <c r="D45" s="7" t="n">
        <v>-2476</v>
      </c>
      <c r="E45" s="7" t="n">
        <v>-2230</v>
      </c>
      <c r="F45" s="7" t="n">
        <v>-2218</v>
      </c>
      <c r="G45" s="7" t="n">
        <v>-2285</v>
      </c>
      <c r="H45" s="7" t="n">
        <v>-2845</v>
      </c>
      <c r="I45" s="7" t="n">
        <v>-2634</v>
      </c>
      <c r="J45" s="7" t="n">
        <v>-2999</v>
      </c>
      <c r="K45" s="7" t="n">
        <v>-2301</v>
      </c>
      <c r="M45" s="8" t="n">
        <f aca="false">$K$45</f>
        <v>-2301</v>
      </c>
      <c r="N45" s="8" t="n">
        <f aca="false">$K$45</f>
        <v>-2301</v>
      </c>
      <c r="O45" s="8" t="n">
        <f aca="false">$K$45</f>
        <v>-2301</v>
      </c>
      <c r="P45" s="8" t="n">
        <f aca="false">$K$45</f>
        <v>-2301</v>
      </c>
      <c r="Q45" s="8" t="n">
        <f aca="false">$K$45</f>
        <v>-2301</v>
      </c>
    </row>
    <row r="46" customFormat="false" ht="15" hidden="false" customHeight="true" outlineLevel="0" collapsed="false">
      <c r="A46" s="3" t="s">
        <v>97</v>
      </c>
      <c r="B46" s="7" t="n">
        <v>784</v>
      </c>
      <c r="C46" s="7" t="n">
        <v>533</v>
      </c>
      <c r="D46" s="7" t="n">
        <v>533</v>
      </c>
      <c r="E46" s="7" t="n">
        <v>344</v>
      </c>
      <c r="F46" s="7" t="n">
        <v>251</v>
      </c>
      <c r="G46" s="7" t="n">
        <v>461</v>
      </c>
      <c r="H46" s="7" t="n">
        <v>35</v>
      </c>
      <c r="I46" s="7" t="n">
        <v>30</v>
      </c>
      <c r="J46" s="7" t="n">
        <v>84</v>
      </c>
      <c r="K46" s="7" t="n">
        <v>-69</v>
      </c>
      <c r="M46" s="8" t="n">
        <f aca="false">$K$46</f>
        <v>-69</v>
      </c>
      <c r="N46" s="8" t="n">
        <f aca="false">$K$46</f>
        <v>-69</v>
      </c>
      <c r="O46" s="8" t="n">
        <f aca="false">$K$46</f>
        <v>-69</v>
      </c>
      <c r="P46" s="8" t="n">
        <f aca="false">$K$46</f>
        <v>-69</v>
      </c>
      <c r="Q46" s="8" t="n">
        <f aca="false">$K$46</f>
        <v>-69</v>
      </c>
    </row>
    <row r="47" customFormat="false" ht="15" hidden="false" customHeight="true" outlineLevel="0" collapsed="false">
      <c r="A47" s="3" t="s">
        <v>98</v>
      </c>
      <c r="B47" s="7" t="n">
        <v>-207</v>
      </c>
      <c r="C47" s="7" t="n">
        <v>-224</v>
      </c>
      <c r="D47" s="7" t="n">
        <v>-282</v>
      </c>
      <c r="E47" s="7" t="n">
        <v>-271</v>
      </c>
      <c r="F47" s="7" t="n">
        <v>-344</v>
      </c>
      <c r="G47" s="7" t="n">
        <v>-587</v>
      </c>
      <c r="H47" s="7" t="n">
        <v>-847</v>
      </c>
      <c r="I47" s="7" t="n">
        <v>-1286</v>
      </c>
      <c r="J47" s="7" t="n">
        <v>-2218</v>
      </c>
      <c r="K47" s="7" t="n">
        <v>-2636</v>
      </c>
      <c r="M47" s="8" t="n">
        <f aca="false">$K$47</f>
        <v>-2636</v>
      </c>
      <c r="N47" s="8" t="n">
        <f aca="false">$K$47</f>
        <v>-2636</v>
      </c>
      <c r="O47" s="8" t="n">
        <f aca="false">$K$47</f>
        <v>-2636</v>
      </c>
      <c r="P47" s="8" t="n">
        <f aca="false">$K$47</f>
        <v>-2636</v>
      </c>
      <c r="Q47" s="8" t="n">
        <f aca="false">$K$47</f>
        <v>-2636</v>
      </c>
    </row>
    <row r="48" customFormat="false" ht="15" hidden="false" customHeight="true" outlineLevel="0" collapsed="false">
      <c r="A48" s="13" t="s">
        <v>99</v>
      </c>
      <c r="B48" s="8" t="n">
        <f aca="false">B42+B43+B44+B45+B46+B47</f>
        <v>57358</v>
      </c>
      <c r="C48" s="8" t="n">
        <f aca="false">C42+C43+C44+C45+C46+C47</f>
        <v>65863</v>
      </c>
      <c r="D48" s="8" t="n">
        <f aca="false">D42+D43+D44+D45+D46+D47</f>
        <v>51657</v>
      </c>
      <c r="E48" s="8" t="n">
        <f aca="false">E42+E43+E44+E45+E46+E47</f>
        <v>51623</v>
      </c>
      <c r="F48" s="8" t="n">
        <f aca="false">F42+F43+F44+F45+F46+F47</f>
        <v>50103</v>
      </c>
      <c r="G48" s="8" t="n">
        <f aca="false">G42+G43+G44+G45+G46+G47</f>
        <v>49298</v>
      </c>
      <c r="H48" s="8" t="n">
        <f aca="false">H42+H43+H44+H45+H46+H47</f>
        <v>48678</v>
      </c>
      <c r="I48" s="8" t="n">
        <f aca="false">I42+I43+I44+I45+I46+I47</f>
        <v>49526</v>
      </c>
      <c r="J48" s="8" t="n">
        <f aca="false">J42+J43+J44+J45+J46+J47</f>
        <v>49185</v>
      </c>
      <c r="K48" s="8" t="n">
        <f aca="false">K42+K43+K44+K45+K46+K47</f>
        <v>41664</v>
      </c>
      <c r="M48" s="8" t="n">
        <f aca="false">M42+M43+M44+M45+M46+M47</f>
        <v>42546.3780506916</v>
      </c>
      <c r="N48" s="8" t="n">
        <f aca="false">N42+N43+N44+N45+N46+N47</f>
        <v>43418.5743903786</v>
      </c>
      <c r="O48" s="8" t="n">
        <f aca="false">O42+O43+O44+O45+O46+O47</f>
        <v>44281.0045263792</v>
      </c>
      <c r="P48" s="8" t="n">
        <f aca="false">P42+P43+P44+P45+P46+P47</f>
        <v>45134.0475530275</v>
      </c>
      <c r="Q48" s="8" t="n">
        <f aca="false">Q42+Q43+Q44+Q45+Q46+Q47</f>
        <v>45978.0496295179</v>
      </c>
    </row>
    <row r="49" customFormat="false" ht="15" hidden="false" customHeight="true" outlineLevel="0" collapsed="false">
      <c r="A49" s="3" t="s">
        <v>100</v>
      </c>
      <c r="B49" s="7" t="n">
        <v>216</v>
      </c>
      <c r="C49" s="7" t="n">
        <v>213</v>
      </c>
      <c r="D49" s="7" t="n">
        <v>121</v>
      </c>
      <c r="E49" s="7" t="n">
        <v>126</v>
      </c>
      <c r="F49" s="7" t="n">
        <v>140</v>
      </c>
      <c r="G49" s="7" t="n">
        <v>154</v>
      </c>
      <c r="H49" s="7" t="n">
        <v>192</v>
      </c>
      <c r="I49" s="7" t="n">
        <v>196</v>
      </c>
      <c r="J49" s="7" t="n">
        <v>140</v>
      </c>
      <c r="K49" s="7" t="n">
        <v>125</v>
      </c>
      <c r="M49" s="8" t="n">
        <f aca="false">$K$49</f>
        <v>125</v>
      </c>
      <c r="N49" s="8" t="n">
        <f aca="false">$K$49</f>
        <v>125</v>
      </c>
      <c r="O49" s="8" t="n">
        <f aca="false">$K$49</f>
        <v>125</v>
      </c>
      <c r="P49" s="8" t="n">
        <f aca="false">$K$49</f>
        <v>125</v>
      </c>
      <c r="Q49" s="8" t="n">
        <f aca="false">$K$49</f>
        <v>125</v>
      </c>
    </row>
    <row r="50" customFormat="false" ht="15" hidden="false" customHeight="true" outlineLevel="0" collapsed="false">
      <c r="A50" s="15" t="s">
        <v>101</v>
      </c>
      <c r="B50" s="25" t="n">
        <f aca="false">B48+B49</f>
        <v>57574</v>
      </c>
      <c r="C50" s="25" t="n">
        <f aca="false">C48+C49</f>
        <v>66076</v>
      </c>
      <c r="D50" s="25" t="n">
        <f aca="false">D48+D49</f>
        <v>51778</v>
      </c>
      <c r="E50" s="25" t="n">
        <f aca="false">E48+E49</f>
        <v>51749</v>
      </c>
      <c r="F50" s="25" t="n">
        <f aca="false">F48+F49</f>
        <v>50243</v>
      </c>
      <c r="G50" s="25" t="n">
        <f aca="false">G48+G49</f>
        <v>49452</v>
      </c>
      <c r="H50" s="25" t="n">
        <f aca="false">H48+H49</f>
        <v>48870</v>
      </c>
      <c r="I50" s="25" t="n">
        <f aca="false">I48+I49</f>
        <v>49722</v>
      </c>
      <c r="J50" s="25" t="n">
        <f aca="false">J48+J49</f>
        <v>49325</v>
      </c>
      <c r="K50" s="25" t="n">
        <f aca="false">K48+K49</f>
        <v>41789</v>
      </c>
      <c r="M50" s="25" t="n">
        <f aca="false">M48+M49</f>
        <v>42671.3780506916</v>
      </c>
      <c r="N50" s="25" t="n">
        <f aca="false">N48+N49</f>
        <v>43543.5743903786</v>
      </c>
      <c r="O50" s="25" t="n">
        <f aca="false">O48+O49</f>
        <v>44406.0045263792</v>
      </c>
      <c r="P50" s="25" t="n">
        <f aca="false">P48+P49</f>
        <v>45259.0475530275</v>
      </c>
      <c r="Q50" s="25" t="n">
        <f aca="false">Q48+Q49</f>
        <v>46103.0496295179</v>
      </c>
    </row>
    <row r="52" customFormat="false" ht="15" hidden="false" customHeight="true" outlineLevel="0" collapsed="false">
      <c r="A52" s="15" t="s">
        <v>102</v>
      </c>
      <c r="B52" s="25" t="n">
        <f aca="false">B39+B50</f>
        <v>120480</v>
      </c>
      <c r="C52" s="25" t="n">
        <f aca="false">C39+C50</f>
        <v>120092</v>
      </c>
      <c r="D52" s="25" t="n">
        <f aca="false">D39+D50</f>
        <v>103461</v>
      </c>
      <c r="E52" s="25" t="n">
        <f aca="false">E39+E50</f>
        <v>101450</v>
      </c>
      <c r="F52" s="25" t="n">
        <f aca="false">F39+F50</f>
        <v>99830</v>
      </c>
      <c r="G52" s="25" t="n">
        <f aca="false">G39+G50</f>
        <v>93394</v>
      </c>
      <c r="H52" s="25" t="n">
        <f aca="false">H39+H50</f>
        <v>90513</v>
      </c>
      <c r="I52" s="25" t="n">
        <f aca="false">I39+I50</f>
        <v>90339</v>
      </c>
      <c r="J52" s="25" t="n">
        <f aca="false">J39+J50</f>
        <v>88287</v>
      </c>
      <c r="K52" s="25" t="n">
        <f aca="false">K39+K50</f>
        <v>81786</v>
      </c>
      <c r="M52" s="25" t="n">
        <f aca="false">M39+M50</f>
        <v>82781.6582586529</v>
      </c>
      <c r="N52" s="25" t="n">
        <f aca="false">N39+N50</f>
        <v>83615.8912675709</v>
      </c>
      <c r="O52" s="25" t="n">
        <f aca="false">O39+O50</f>
        <v>84440.1388444621</v>
      </c>
      <c r="P52" s="25" t="n">
        <f aca="false">P39+P50</f>
        <v>85254.8252462974</v>
      </c>
      <c r="Q52" s="25" t="n">
        <f aca="false">Q39+Q50</f>
        <v>86060.3373039778</v>
      </c>
    </row>
    <row r="54" customFormat="false" ht="15" hidden="false" customHeight="true" outlineLevel="0" collapsed="false">
      <c r="A54" s="26" t="s">
        <v>103</v>
      </c>
      <c r="B54" s="8" t="n">
        <f aca="false">B26-B52</f>
        <v>0</v>
      </c>
      <c r="C54" s="8" t="n">
        <f aca="false">C26-C52</f>
        <v>0</v>
      </c>
      <c r="D54" s="8" t="n">
        <f aca="false">D26-D52</f>
        <v>0</v>
      </c>
      <c r="E54" s="8" t="n">
        <f aca="false">E26-E52</f>
        <v>0</v>
      </c>
      <c r="F54" s="8" t="n">
        <f aca="false">F26-F52</f>
        <v>0</v>
      </c>
      <c r="G54" s="8" t="n">
        <f aca="false">G26-G52</f>
        <v>0</v>
      </c>
      <c r="H54" s="8" t="n">
        <f aca="false">H26-H52</f>
        <v>0</v>
      </c>
      <c r="I54" s="8" t="n">
        <f aca="false">I26-I52</f>
        <v>0</v>
      </c>
      <c r="J54" s="8" t="n">
        <f aca="false">J26-J52</f>
        <v>0</v>
      </c>
      <c r="K54" s="8" t="n">
        <f aca="false">K26-K52</f>
        <v>0</v>
      </c>
      <c r="M54" s="8" t="n">
        <f aca="false">M26-M52</f>
        <v>0</v>
      </c>
      <c r="N54" s="8" t="n">
        <f aca="false">N26-N52</f>
        <v>0</v>
      </c>
      <c r="O54" s="8" t="n">
        <f aca="false">O26-O52</f>
        <v>0</v>
      </c>
      <c r="P54" s="8" t="n">
        <f aca="false">P26-P52</f>
        <v>0</v>
      </c>
      <c r="Q54" s="8" t="n">
        <f aca="false">Q26-Q52</f>
        <v>0</v>
      </c>
    </row>
    <row r="56" customFormat="false" ht="15" hidden="false" customHeight="true" outlineLevel="0" collapsed="false">
      <c r="A56" s="3" t="s">
        <v>104</v>
      </c>
      <c r="B56" s="7" t="n">
        <v>3764</v>
      </c>
      <c r="C56" s="7" t="n">
        <v>2888</v>
      </c>
      <c r="D56" s="7" t="n">
        <v>3183</v>
      </c>
      <c r="E56" s="7" t="n">
        <v>1953</v>
      </c>
      <c r="F56" s="7" t="n">
        <v>1958</v>
      </c>
      <c r="G56" s="7" t="n">
        <v>1959</v>
      </c>
      <c r="H56" s="7" t="n">
        <v>1960</v>
      </c>
      <c r="I56" s="7" t="n">
        <v>1965</v>
      </c>
      <c r="J56" s="7" t="n">
        <v>1931</v>
      </c>
      <c r="K56" s="7" t="n">
        <v>1898</v>
      </c>
      <c r="M56" s="11" t="n">
        <f aca="false">$C$67*'Income Statement'!M33</f>
        <v>2517.64969241248</v>
      </c>
      <c r="N56" s="11" t="n">
        <f aca="false">$C$67*'Income Statement'!N33</f>
        <v>2488.59867334117</v>
      </c>
      <c r="O56" s="11" t="n">
        <f aca="false">$C$67*'Income Statement'!O33</f>
        <v>2460.73320265325</v>
      </c>
      <c r="P56" s="11" t="n">
        <f aca="false">$C$67*'Income Statement'!P33</f>
        <v>2433.94938481597</v>
      </c>
      <c r="Q56" s="11" t="n">
        <f aca="false">$C$67*'Income Statement'!Q33</f>
        <v>2408.15324747279</v>
      </c>
    </row>
    <row r="57" customFormat="false" ht="15" hidden="false" customHeight="true" outlineLevel="0" collapsed="false">
      <c r="A57" s="9" t="s">
        <v>105</v>
      </c>
      <c r="B57" s="12" t="n">
        <f aca="false">B56/'Income Statement'!B33</f>
        <v>1.09038238702202</v>
      </c>
      <c r="C57" s="12" t="n">
        <f aca="false">C56/'Income Statement'!C33</f>
        <v>0.263961246686775</v>
      </c>
      <c r="D57" s="12" t="n">
        <f aca="false">D56/'Income Statement'!D33</f>
        <v>-0.312303767660911</v>
      </c>
      <c r="E57" s="12" t="n">
        <f aca="false">E56/'Income Statement'!E33</f>
        <v>1.0093023255814</v>
      </c>
      <c r="F57" s="12" t="n">
        <f aca="false">F56/'Income Statement'!F33</f>
        <v>5.5</v>
      </c>
      <c r="G57" s="12" t="n">
        <f aca="false">G56/'Income Statement'!G33</f>
        <v>1.93577075098814</v>
      </c>
      <c r="H57" s="12" t="n">
        <f aca="false">H56/'Income Statement'!H33</f>
        <v>0.82945408379179</v>
      </c>
      <c r="I57" s="12" t="n">
        <f aca="false">I56/'Income Statement'!I33</f>
        <v>0.688266199649737</v>
      </c>
      <c r="J57" s="12" t="n">
        <f aca="false">J56/'Income Statement'!J33</f>
        <v>0.703717201166181</v>
      </c>
      <c r="K57" s="12" t="n">
        <f aca="false">K56/'Income Statement'!K33</f>
        <v>-0.324666438590489</v>
      </c>
    </row>
    <row r="59" customFormat="false" ht="15" hidden="false" customHeight="true" outlineLevel="0" collapsed="false">
      <c r="A59" s="15" t="s">
        <v>46</v>
      </c>
      <c r="B59" s="16"/>
      <c r="C59" s="16"/>
      <c r="D59" s="16"/>
      <c r="E59" s="16"/>
      <c r="F59" s="16"/>
      <c r="G59" s="16"/>
      <c r="H59" s="16"/>
      <c r="I59" s="16"/>
      <c r="J59" s="16"/>
      <c r="K59" s="16"/>
      <c r="M59" s="16"/>
      <c r="N59" s="16"/>
      <c r="O59" s="16"/>
      <c r="P59" s="16"/>
      <c r="Q59" s="16"/>
    </row>
    <row r="60" customFormat="false" ht="15" hidden="false" customHeight="true" outlineLevel="0" collapsed="false">
      <c r="A60" s="17" t="s">
        <v>106</v>
      </c>
      <c r="C60" s="27" t="n">
        <f aca="false">AVERAGE(B9:K9)</f>
        <v>14.9164023500953</v>
      </c>
    </row>
    <row r="61" customFormat="false" ht="15" hidden="false" customHeight="true" outlineLevel="0" collapsed="false">
      <c r="A61" s="17" t="s">
        <v>107</v>
      </c>
      <c r="C61" s="27" t="n">
        <f aca="false">AVERAGE(B11:K11)</f>
        <v>5.78090691004897</v>
      </c>
    </row>
    <row r="62" customFormat="false" ht="15" hidden="false" customHeight="true" outlineLevel="0" collapsed="false">
      <c r="A62" s="17" t="s">
        <v>108</v>
      </c>
      <c r="C62" s="27" t="n">
        <f aca="false">AVERAGE(B30:K30)</f>
        <v>3.92587418975746</v>
      </c>
    </row>
    <row r="63" customFormat="false" ht="15" hidden="false" customHeight="true" outlineLevel="0" collapsed="false">
      <c r="A63" s="17" t="s">
        <v>109</v>
      </c>
      <c r="C63" s="18" t="n">
        <f aca="false">AVERAGE(B17:K17)</f>
        <v>0.0362348137675358</v>
      </c>
    </row>
    <row r="64" customFormat="false" ht="15" hidden="false" customHeight="true" outlineLevel="0" collapsed="false">
      <c r="A64" s="17" t="s">
        <v>110</v>
      </c>
      <c r="C64" s="18" t="n">
        <f aca="false">AVERAGE(B13:K13)</f>
        <v>0.0530019340295928</v>
      </c>
    </row>
    <row r="65" customFormat="false" ht="15" hidden="false" customHeight="true" outlineLevel="0" collapsed="false">
      <c r="A65" s="17" t="s">
        <v>111</v>
      </c>
      <c r="C65" s="18" t="n">
        <f aca="false">AVERAGE(B33:K33)</f>
        <v>0.109463836143518</v>
      </c>
    </row>
    <row r="66" customFormat="false" ht="15" hidden="false" customHeight="true" outlineLevel="0" collapsed="false">
      <c r="A66" s="17" t="s">
        <v>112</v>
      </c>
      <c r="C66" s="18" t="n">
        <f aca="false">AVERAGEIF('Income Statement'!B33:K33,"&gt;0",B57:K57)</f>
        <v>1.50260677436075</v>
      </c>
    </row>
    <row r="67" customFormat="false" ht="15" hidden="false" customHeight="true" outlineLevel="0" collapsed="false">
      <c r="A67" s="17" t="s">
        <v>113</v>
      </c>
      <c r="C67" s="18" t="n">
        <f aca="false">AVERAGE(H57:J57)</f>
        <v>0.740479161535903</v>
      </c>
    </row>
    <row r="69" customFormat="false" ht="15" hidden="false" customHeight="true" outlineLevel="0" collapsed="false">
      <c r="A69" s="26" t="s">
        <v>114</v>
      </c>
    </row>
    <row r="70" customFormat="false" ht="15" hidden="false" customHeight="true" outlineLevel="0" collapsed="false">
      <c r="A70" s="26" t="s">
        <v>115</v>
      </c>
    </row>
    <row r="71" customFormat="false" ht="30" hidden="false" customHeight="true" outlineLevel="0" collapsed="false">
      <c r="A71" s="20" t="s">
        <v>116</v>
      </c>
      <c r="B71" s="20"/>
      <c r="C71" s="20"/>
      <c r="D71" s="20"/>
      <c r="E71" s="20"/>
      <c r="F71" s="20"/>
      <c r="G71" s="20"/>
      <c r="H71" s="20"/>
      <c r="I71" s="20"/>
      <c r="J71" s="20"/>
      <c r="K71" s="20"/>
      <c r="L71" s="20"/>
      <c r="M71" s="20"/>
      <c r="N71" s="20"/>
      <c r="O71" s="20"/>
      <c r="P71" s="20"/>
      <c r="Q71" s="20"/>
    </row>
  </sheetData>
  <mergeCells count="1">
    <mergeCell ref="A71:Q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11" min="2" style="1" width="10"/>
  </cols>
  <sheetData>
    <row r="1" customFormat="false" ht="17.25" hidden="false" customHeight="true" outlineLevel="0" collapsed="false">
      <c r="A1" s="28" t="s">
        <v>117</v>
      </c>
    </row>
    <row r="2" customFormat="false" ht="15" hidden="false" customHeight="true" outlineLevel="0" collapsed="false">
      <c r="A2" s="29" t="s">
        <v>118</v>
      </c>
    </row>
    <row r="4" customFormat="false" ht="15" hidden="false" customHeight="true" outlineLevel="0" collapsed="false">
      <c r="A4" s="21" t="s">
        <v>119</v>
      </c>
      <c r="B4" s="30" t="str">
        <f aca="false">'Income Statement'!B4</f>
        <v>2016</v>
      </c>
      <c r="C4" s="30" t="str">
        <f aca="false">'Income Statement'!C4</f>
        <v>2017</v>
      </c>
      <c r="D4" s="30" t="str">
        <f aca="false">'Income Statement'!D4</f>
        <v>2018</v>
      </c>
      <c r="E4" s="30" t="str">
        <f aca="false">'Income Statement'!E4</f>
        <v>2019</v>
      </c>
      <c r="F4" s="30" t="str">
        <f aca="false">'Income Statement'!F4</f>
        <v>2020</v>
      </c>
      <c r="G4" s="30" t="str">
        <f aca="false">'Income Statement'!G4</f>
        <v>2021</v>
      </c>
      <c r="H4" s="30" t="str">
        <f aca="false">'Income Statement'!H4</f>
        <v>2022</v>
      </c>
      <c r="I4" s="30" t="str">
        <f aca="false">'Income Statement'!I4</f>
        <v>2023</v>
      </c>
      <c r="J4" s="30" t="str">
        <f aca="false">'Income Statement'!J4</f>
        <v>2024</v>
      </c>
      <c r="K4" s="30" t="str">
        <f aca="false">'Income Statement'!K4</f>
        <v>2025</v>
      </c>
    </row>
    <row r="6" customFormat="false" ht="15" hidden="false" customHeight="true" outlineLevel="0" collapsed="false">
      <c r="A6" s="31" t="s">
        <v>120</v>
      </c>
      <c r="B6" s="31"/>
      <c r="C6" s="31"/>
      <c r="D6" s="31"/>
      <c r="E6" s="31"/>
      <c r="F6" s="31"/>
      <c r="G6" s="31"/>
      <c r="H6" s="31"/>
      <c r="I6" s="31"/>
      <c r="J6" s="31"/>
      <c r="K6" s="31"/>
    </row>
    <row r="8" customFormat="false" ht="15" hidden="false" customHeight="true" outlineLevel="0" collapsed="false">
      <c r="A8" s="21" t="s">
        <v>121</v>
      </c>
      <c r="B8" s="32" t="n">
        <f aca="false">'Income Statement'!B16/'Income Statement'!B6</f>
        <v>0.386730108379593</v>
      </c>
      <c r="C8" s="32" t="n">
        <f aca="false">'Income Statement'!C16/'Income Statement'!C6</f>
        <v>0.36723423838012</v>
      </c>
      <c r="D8" s="32" t="n">
        <f aca="false">'Income Statement'!D16/'Income Statement'!D6</f>
        <v>0.348827470686767</v>
      </c>
      <c r="E8" s="32" t="n">
        <f aca="false">'Income Statement'!E16/'Income Statement'!E6</f>
        <v>0.325459422668855</v>
      </c>
      <c r="F8" s="32" t="n">
        <f aca="false">'Income Statement'!F16/'Income Statement'!F6</f>
        <v>0.351588756492515</v>
      </c>
      <c r="G8" s="32" t="n">
        <f aca="false">'Income Statement'!G16/'Income Statement'!G6</f>
        <v>0.329723918135392</v>
      </c>
      <c r="H8" s="32" t="n">
        <f aca="false">'Income Statement'!H16/'Income Statement'!H6</f>
        <v>0.304750037758647</v>
      </c>
      <c r="I8" s="32" t="n">
        <f aca="false">'Income Statement'!I16/'Income Statement'!I6</f>
        <v>0.340277777777778</v>
      </c>
      <c r="J8" s="32" t="n">
        <f aca="false">'Income Statement'!J16/'Income Statement'!J6</f>
        <v>0.34779076065929</v>
      </c>
      <c r="K8" s="32" t="n">
        <f aca="false">'Income Statement'!K16/'Income Statement'!K6</f>
        <v>0.335779007296929</v>
      </c>
    </row>
    <row r="9" customFormat="false" ht="15" hidden="false" customHeight="true" outlineLevel="0" collapsed="false">
      <c r="A9" s="21" t="s">
        <v>122</v>
      </c>
      <c r="B9" s="32" t="n">
        <f aca="false">'Income Statement'!B20/'Income Statement'!B6</f>
        <v>0.268041237113402</v>
      </c>
      <c r="C9" s="32" t="n">
        <f aca="false">'Income Statement'!C20/'Income Statement'!C6</f>
        <v>0.267487344684768</v>
      </c>
      <c r="D9" s="32" t="n">
        <f aca="false">'Income Statement'!D20/'Income Statement'!D6</f>
        <v>0.223008984315517</v>
      </c>
      <c r="E9" s="32" t="n">
        <f aca="false">'Income Statement'!E20/'Income Statement'!E6</f>
        <v>0.200384353605317</v>
      </c>
      <c r="F9" s="32" t="n">
        <f aca="false">'Income Statement'!F20/'Income Statement'!F6</f>
        <v>0.213527344943477</v>
      </c>
      <c r="G9" s="32" t="n">
        <f aca="false">'Income Statement'!G20/'Income Statement'!G6</f>
        <v>0.194678032484737</v>
      </c>
      <c r="H9" s="32" t="n">
        <f aca="false">'Income Statement'!H20/'Income Statement'!H6</f>
        <v>0.17146201480139</v>
      </c>
      <c r="I9" s="32" t="n">
        <f aca="false">'Income Statement'!I20/'Income Statement'!I6</f>
        <v>0.201801801801802</v>
      </c>
      <c r="J9" s="32" t="n">
        <f aca="false">'Income Statement'!J20/'Income Statement'!J6</f>
        <v>0.208620289406485</v>
      </c>
      <c r="K9" s="32" t="n">
        <f aca="false">'Income Statement'!K20/'Income Statement'!K6</f>
        <v>0.189038569481196</v>
      </c>
    </row>
    <row r="10" customFormat="false" ht="15" hidden="false" customHeight="true" outlineLevel="0" collapsed="false">
      <c r="A10" s="21" t="s">
        <v>123</v>
      </c>
      <c r="B10" s="32" t="n">
        <f aca="false">'Income Statement'!B33/'Income Statement'!B6</f>
        <v>0.130357614893697</v>
      </c>
      <c r="C10" s="32" t="n">
        <f aca="false">'Income Statement'!C33/'Income Statement'!C6</f>
        <v>0.419581224114128</v>
      </c>
      <c r="D10" s="32" t="n">
        <f aca="false">'Income Statement'!D33/'Income Statement'!D6</f>
        <v>-0.388000609106137</v>
      </c>
      <c r="E10" s="32" t="n">
        <f aca="false">'Income Statement'!E33/'Income Statement'!E6</f>
        <v>0.077471273571686</v>
      </c>
      <c r="F10" s="32" t="n">
        <f aca="false">'Income Statement'!F33/'Income Statement'!F6</f>
        <v>0.0135960892147877</v>
      </c>
      <c r="G10" s="32" t="n">
        <f aca="false">'Income Statement'!G33/'Income Statement'!G6</f>
        <v>0.038858810428906</v>
      </c>
      <c r="H10" s="32" t="n">
        <f aca="false">'Income Statement'!H33/'Income Statement'!H6</f>
        <v>0.0892236822232291</v>
      </c>
      <c r="I10" s="32" t="n">
        <f aca="false">'Income Statement'!I33/'Income Statement'!I6</f>
        <v>0.10716966966967</v>
      </c>
      <c r="J10" s="32" t="n">
        <f aca="false">'Income Statement'!J33/'Income Statement'!J6</f>
        <v>0.106167298614873</v>
      </c>
      <c r="K10" s="32" t="n">
        <f aca="false">'Income Statement'!K33/'Income Statement'!K6</f>
        <v>-0.234383770347206</v>
      </c>
    </row>
    <row r="11" customFormat="false" ht="15" hidden="false" customHeight="true" outlineLevel="0" collapsed="false">
      <c r="A11" s="21" t="s">
        <v>124</v>
      </c>
      <c r="B11" s="32" t="n">
        <f aca="false">'Income Statement'!B33/'Balance Sheet'!B48</f>
        <v>0.0601834094633704</v>
      </c>
      <c r="C11" s="32" t="n">
        <f aca="false">'Income Statement'!C33/'Balance Sheet'!C48</f>
        <v>0.16611754702944</v>
      </c>
      <c r="D11" s="32" t="n">
        <f aca="false">'Income Statement'!D33/'Balance Sheet'!D48</f>
        <v>-0.197301430590239</v>
      </c>
      <c r="E11" s="32" t="n">
        <f aca="false">'Income Statement'!E33/'Balance Sheet'!E48</f>
        <v>0.0374832923309378</v>
      </c>
      <c r="F11" s="32" t="n">
        <f aca="false">'Income Statement'!F33/'Balance Sheet'!F48</f>
        <v>0.00710536295231823</v>
      </c>
      <c r="G11" s="32" t="n">
        <f aca="false">'Income Statement'!G33/'Balance Sheet'!G48</f>
        <v>0.0205282161548136</v>
      </c>
      <c r="H11" s="32" t="n">
        <f aca="false">'Income Statement'!H33/'Balance Sheet'!H48</f>
        <v>0.0485434898722215</v>
      </c>
      <c r="I11" s="32" t="n">
        <f aca="false">'Income Statement'!I33/'Balance Sheet'!I48</f>
        <v>0.0576464887129992</v>
      </c>
      <c r="J11" s="32" t="n">
        <f aca="false">'Income Statement'!J33/'Balance Sheet'!J48</f>
        <v>0.0557893666768324</v>
      </c>
      <c r="K11" s="32" t="n">
        <f aca="false">'Income Statement'!K33/'Balance Sheet'!K48</f>
        <v>-0.140312980030722</v>
      </c>
    </row>
    <row r="12" customFormat="false" ht="15" hidden="false" customHeight="true" outlineLevel="0" collapsed="false">
      <c r="A12" s="21" t="s">
        <v>125</v>
      </c>
      <c r="B12" s="32" t="n">
        <f aca="false">'Income Statement'!B33/'Balance Sheet'!B26</f>
        <v>0.0286520584329349</v>
      </c>
      <c r="C12" s="32" t="n">
        <f aca="false">'Income Statement'!C33/'Balance Sheet'!C26</f>
        <v>0.0911051527162509</v>
      </c>
      <c r="D12" s="32" t="n">
        <f aca="false">'Income Statement'!D33/'Balance Sheet'!D26</f>
        <v>-0.0985105498690328</v>
      </c>
      <c r="E12" s="32" t="n">
        <f aca="false">'Income Statement'!E33/'Balance Sheet'!E26</f>
        <v>0.0190734351897486</v>
      </c>
      <c r="F12" s="32" t="n">
        <f aca="false">'Income Statement'!F33/'Balance Sheet'!F26</f>
        <v>0.00356606230592006</v>
      </c>
      <c r="G12" s="32" t="n">
        <f aca="false">'Income Statement'!G33/'Balance Sheet'!G26</f>
        <v>0.0108358138638456</v>
      </c>
      <c r="H12" s="32" t="n">
        <f aca="false">'Income Statement'!H33/'Balance Sheet'!H26</f>
        <v>0.0261067470971021</v>
      </c>
      <c r="I12" s="32" t="n">
        <f aca="false">'Income Statement'!I33/'Balance Sheet'!I26</f>
        <v>0.0316031835641307</v>
      </c>
      <c r="J12" s="32" t="n">
        <f aca="false">'Income Statement'!J33/'Balance Sheet'!J26</f>
        <v>0.0310804535209034</v>
      </c>
      <c r="K12" s="32" t="n">
        <f aca="false">'Income Statement'!K33/'Balance Sheet'!K26</f>
        <v>-0.0714792262734453</v>
      </c>
    </row>
    <row r="14" customFormat="false" ht="15" hidden="false" customHeight="true" outlineLevel="0" collapsed="false">
      <c r="A14" s="31" t="s">
        <v>126</v>
      </c>
      <c r="B14" s="31"/>
      <c r="C14" s="31"/>
      <c r="D14" s="31"/>
      <c r="E14" s="31"/>
      <c r="F14" s="31"/>
      <c r="G14" s="31"/>
      <c r="H14" s="31"/>
      <c r="I14" s="31"/>
      <c r="J14" s="31"/>
      <c r="K14" s="31"/>
    </row>
    <row r="16" customFormat="false" ht="15" hidden="false" customHeight="true" outlineLevel="0" collapsed="false">
      <c r="A16" s="21" t="s">
        <v>127</v>
      </c>
      <c r="B16" s="33" t="n">
        <f aca="false">'Balance Sheet'!B9</f>
        <v>29.488864142539</v>
      </c>
      <c r="C16" s="33" t="n">
        <f aca="false">'Balance Sheet'!C9</f>
        <v>20.4678178963893</v>
      </c>
      <c r="D16" s="33" t="n">
        <f aca="false">'Balance Sheet'!D9</f>
        <v>12.3381869422264</v>
      </c>
      <c r="E16" s="33" t="n">
        <f aca="false">'Balance Sheet'!E9</f>
        <v>12.659401926001</v>
      </c>
      <c r="F16" s="33" t="n">
        <f aca="false">'Balance Sheet'!F9</f>
        <v>12.6921958313136</v>
      </c>
      <c r="G16" s="33" t="n">
        <f aca="false">'Balance Sheet'!G9</f>
        <v>13.3076136944303</v>
      </c>
      <c r="H16" s="33" t="n">
        <f aca="false">'Balance Sheet'!H9</f>
        <v>12.4924528301887</v>
      </c>
      <c r="I16" s="33" t="n">
        <f aca="false">'Balance Sheet'!I9</f>
        <v>12.6136363636364</v>
      </c>
      <c r="J16" s="33" t="n">
        <f aca="false">'Balance Sheet'!J9</f>
        <v>12.0381928272007</v>
      </c>
      <c r="K16" s="33" t="n">
        <f aca="false">'Balance Sheet'!K9</f>
        <v>11.0656610470275</v>
      </c>
    </row>
    <row r="17" customFormat="false" ht="15" hidden="false" customHeight="true" outlineLevel="0" collapsed="false">
      <c r="A17" s="21" t="s">
        <v>128</v>
      </c>
      <c r="B17" s="33" t="n">
        <f aca="false">'Balance Sheet'!B11</f>
        <v>6.05067064083458</v>
      </c>
      <c r="C17" s="33" t="n">
        <f aca="false">'Balance Sheet'!C11</f>
        <v>5.97826086956522</v>
      </c>
      <c r="D17" s="33" t="n">
        <f aca="false">'Balance Sheet'!D11</f>
        <v>6.41357330333708</v>
      </c>
      <c r="E17" s="33" t="n">
        <f aca="false">'Balance Sheet'!E11</f>
        <v>6.19184123484013</v>
      </c>
      <c r="F17" s="33" t="n">
        <f aca="false">'Balance Sheet'!F11</f>
        <v>6.64761158966327</v>
      </c>
      <c r="G17" s="33" t="n">
        <f aca="false">'Balance Sheet'!G11</f>
        <v>6.39648222792232</v>
      </c>
      <c r="H17" s="33" t="n">
        <f aca="false">'Balance Sheet'!H11</f>
        <v>5.04327581484525</v>
      </c>
      <c r="I17" s="33" t="n">
        <f aca="false">'Balance Sheet'!I11</f>
        <v>4.86303265080244</v>
      </c>
      <c r="J17" s="33" t="n">
        <f aca="false">'Balance Sheet'!J11</f>
        <v>4.99318720379147</v>
      </c>
      <c r="K17" s="33" t="n">
        <f aca="false">'Balance Sheet'!K11</f>
        <v>5.23113356488791</v>
      </c>
    </row>
    <row r="18" customFormat="false" ht="15" hidden="false" customHeight="true" outlineLevel="0" collapsed="false">
      <c r="A18" s="21" t="s">
        <v>129</v>
      </c>
      <c r="B18" s="33" t="n">
        <f aca="false">'Balance Sheet'!B30</f>
        <v>4.06406406406406</v>
      </c>
      <c r="C18" s="33" t="n">
        <f aca="false">'Balance Sheet'!C30</f>
        <v>3.78266850068776</v>
      </c>
      <c r="D18" s="33" t="n">
        <f aca="false">'Balance Sheet'!D30</f>
        <v>4.11870936672285</v>
      </c>
      <c r="E18" s="33" t="n">
        <f aca="false">'Balance Sheet'!E30</f>
        <v>4.20884336747439</v>
      </c>
      <c r="F18" s="33" t="n">
        <f aca="false">'Balance Sheet'!F30</f>
        <v>3.94470260223048</v>
      </c>
      <c r="G18" s="33" t="n">
        <f aca="false">'Balance Sheet'!G30</f>
        <v>3.6726278140122</v>
      </c>
      <c r="H18" s="33" t="n">
        <f aca="false">'Balance Sheet'!H30</f>
        <v>3.79806105610561</v>
      </c>
      <c r="I18" s="33" t="n">
        <f aca="false">'Balance Sheet'!I30</f>
        <v>3.79835746704128</v>
      </c>
      <c r="J18" s="33" t="n">
        <f aca="false">'Balance Sheet'!J30</f>
        <v>4.02507163323782</v>
      </c>
      <c r="K18" s="33" t="n">
        <f aca="false">'Balance Sheet'!K30</f>
        <v>3.84563602599814</v>
      </c>
    </row>
    <row r="19" customFormat="false" ht="15" hidden="false" customHeight="true" outlineLevel="0" collapsed="false">
      <c r="A19" s="21" t="s">
        <v>130</v>
      </c>
      <c r="B19" s="33" t="n">
        <f aca="false">'Income Statement'!B6/'Balance Sheet'!B26</f>
        <v>0.219795816733068</v>
      </c>
      <c r="C19" s="33" t="n">
        <f aca="false">'Income Statement'!C6/'Balance Sheet'!C26</f>
        <v>0.217133530959598</v>
      </c>
      <c r="D19" s="33" t="n">
        <f aca="false">'Income Statement'!D6/'Balance Sheet'!D26</f>
        <v>0.253892771189144</v>
      </c>
      <c r="E19" s="33" t="n">
        <f aca="false">'Income Statement'!E6/'Balance Sheet'!E26</f>
        <v>0.246200098570725</v>
      </c>
      <c r="F19" s="33" t="n">
        <f aca="false">'Income Statement'!F6/'Balance Sheet'!F26</f>
        <v>0.262285886006211</v>
      </c>
      <c r="G19" s="33" t="n">
        <f aca="false">'Income Statement'!G6/'Balance Sheet'!G26</f>
        <v>0.278850889778787</v>
      </c>
      <c r="H19" s="33" t="n">
        <f aca="false">'Income Statement'!H6/'Balance Sheet'!H26</f>
        <v>0.292598853203407</v>
      </c>
      <c r="I19" s="33" t="n">
        <f aca="false">'Income Statement'!I6/'Balance Sheet'!I26</f>
        <v>0.294889250489822</v>
      </c>
      <c r="J19" s="33" t="n">
        <f aca="false">'Income Statement'!J6/'Balance Sheet'!J26</f>
        <v>0.292749781961104</v>
      </c>
      <c r="K19" s="33" t="n">
        <f aca="false">'Income Statement'!K6/'Balance Sheet'!K26</f>
        <v>0.304966620203947</v>
      </c>
    </row>
    <row r="21" customFormat="false" ht="15" hidden="false" customHeight="true" outlineLevel="0" collapsed="false">
      <c r="A21" s="31" t="s">
        <v>131</v>
      </c>
      <c r="B21" s="31"/>
      <c r="C21" s="31"/>
      <c r="D21" s="31"/>
      <c r="E21" s="31"/>
      <c r="F21" s="31"/>
      <c r="G21" s="31"/>
      <c r="H21" s="31"/>
      <c r="I21" s="31"/>
      <c r="J21" s="31"/>
      <c r="K21" s="31"/>
    </row>
    <row r="23" customFormat="false" ht="15" hidden="false" customHeight="true" outlineLevel="0" collapsed="false">
      <c r="A23" s="21" t="s">
        <v>132</v>
      </c>
      <c r="B23" s="33" t="n">
        <f aca="false">'Balance Sheet'!B14/'Balance Sheet'!B34</f>
        <v>0.921271445111041</v>
      </c>
      <c r="C23" s="33" t="n">
        <f aca="false">'Balance Sheet'!C14/'Balance Sheet'!C34</f>
        <v>0.709178648808351</v>
      </c>
      <c r="D23" s="33" t="n">
        <f aca="false">'Balance Sheet'!D14/'Balance Sheet'!D34</f>
        <v>1.20951619352259</v>
      </c>
      <c r="E23" s="33" t="n">
        <f aca="false">'Balance Sheet'!E14/'Balance Sheet'!E34</f>
        <v>1.02819047619048</v>
      </c>
      <c r="F23" s="33" t="n">
        <f aca="false">'Balance Sheet'!F14/'Balance Sheet'!F34</f>
        <v>1.34251333581442</v>
      </c>
      <c r="G23" s="33" t="n">
        <f aca="false">'Balance Sheet'!G14/'Balance Sheet'!G34</f>
        <v>0.992277140335393</v>
      </c>
      <c r="H23" s="33" t="n">
        <f aca="false">'Balance Sheet'!H14/'Balance Sheet'!H34</f>
        <v>0.874723083739477</v>
      </c>
      <c r="I23" s="33" t="n">
        <f aca="false">'Balance Sheet'!I14/'Balance Sheet'!I34</f>
        <v>0.986562150055991</v>
      </c>
      <c r="J23" s="33" t="n">
        <f aca="false">'Balance Sheet'!J14/'Balance Sheet'!J34</f>
        <v>1.05542534123811</v>
      </c>
      <c r="K23" s="33" t="n">
        <f aca="false">'Balance Sheet'!K14/'Balance Sheet'!K34</f>
        <v>1.15367965367965</v>
      </c>
    </row>
    <row r="24" customFormat="false" ht="15" hidden="false" customHeight="true" outlineLevel="0" collapsed="false">
      <c r="A24" s="21" t="s">
        <v>133</v>
      </c>
      <c r="B24" s="33" t="n">
        <f aca="false">('Balance Sheet'!B31+'Balance Sheet'!B36)/'Balance Sheet'!B48</f>
        <v>0.56494298964399</v>
      </c>
      <c r="C24" s="33" t="n">
        <f aca="false">('Balance Sheet'!C31+'Balance Sheet'!C36)/'Balance Sheet'!C48</f>
        <v>0.478311039582163</v>
      </c>
      <c r="D24" s="33" t="n">
        <f aca="false">('Balance Sheet'!D31+'Balance Sheet'!D36)/'Balance Sheet'!D48</f>
        <v>0.603364500454924</v>
      </c>
      <c r="E24" s="33" t="n">
        <f aca="false">('Balance Sheet'!E31+'Balance Sheet'!E36)/'Balance Sheet'!E48</f>
        <v>0.578133777579761</v>
      </c>
      <c r="F24" s="33" t="n">
        <f aca="false">('Balance Sheet'!F31+'Balance Sheet'!F36)/'Balance Sheet'!F48</f>
        <v>0.577131109913578</v>
      </c>
      <c r="G24" s="33" t="n">
        <f aca="false">('Balance Sheet'!G31+'Balance Sheet'!G36)/'Balance Sheet'!G48</f>
        <v>0.455028601565986</v>
      </c>
      <c r="H24" s="33" t="n">
        <f aca="false">('Balance Sheet'!H31+'Balance Sheet'!H36)/'Balance Sheet'!H48</f>
        <v>0.426886889354534</v>
      </c>
      <c r="I24" s="33" t="n">
        <f aca="false">('Balance Sheet'!I31+'Balance Sheet'!I36)/'Balance Sheet'!I48</f>
        <v>0.416932520292372</v>
      </c>
      <c r="J24" s="33" t="n">
        <f aca="false">('Balance Sheet'!J31+'Balance Sheet'!J36)/'Balance Sheet'!J48</f>
        <v>0.415777167835722</v>
      </c>
      <c r="K24" s="33" t="n">
        <f aca="false">('Balance Sheet'!K31+'Balance Sheet'!K36)/'Balance Sheet'!K48</f>
        <v>0.522561443932412</v>
      </c>
    </row>
    <row r="25" customFormat="false" ht="15" hidden="false" customHeight="true" outlineLevel="0" collapsed="false">
      <c r="A25" s="21" t="s">
        <v>134</v>
      </c>
      <c r="B25" s="33" t="n">
        <f aca="false">'Income Statement'!B20/'Income Statement'!B24</f>
        <v>6.28141592920354</v>
      </c>
      <c r="C25" s="33" t="n">
        <f aca="false">'Income Statement'!C20/'Income Statement'!C24</f>
        <v>5.34073506891271</v>
      </c>
      <c r="D25" s="33" t="n">
        <f aca="false">'Income Statement'!D20/'Income Statement'!D24</f>
        <v>4.58372456964006</v>
      </c>
      <c r="E25" s="33" t="n">
        <f aca="false">'Income Statement'!E20/'Income Statement'!E24</f>
        <v>3.61111111111111</v>
      </c>
      <c r="F25" s="33" t="n">
        <f aca="false">'Income Statement'!F20/'Income Statement'!F24</f>
        <v>3.98219373219373</v>
      </c>
      <c r="G25" s="33" t="n">
        <f aca="false">'Income Statement'!G20/'Income Statement'!G24</f>
        <v>2.45877788554801</v>
      </c>
      <c r="H25" s="33" t="n">
        <f aca="false">'Income Statement'!H20/'Income Statement'!H24</f>
        <v>4.89331896551724</v>
      </c>
      <c r="I25" s="33" t="n">
        <f aca="false">'Income Statement'!I20/'Income Statement'!I24</f>
        <v>5.84347826086957</v>
      </c>
      <c r="J25" s="33" t="n">
        <f aca="false">'Income Statement'!J20/'Income Statement'!J24</f>
        <v>5.78540772532189</v>
      </c>
      <c r="K25" s="33" t="n">
        <f aca="false">'Income Statement'!K20/'Income Statement'!K24</f>
        <v>4.84086242299795</v>
      </c>
    </row>
    <row r="27" customFormat="false" ht="15" hidden="false" customHeight="true" outlineLevel="0" collapsed="false">
      <c r="A27" s="34" t="s">
        <v>135</v>
      </c>
    </row>
    <row r="28" customFormat="false" ht="15" hidden="false" customHeight="true" outlineLevel="0" collapsed="false">
      <c r="A28" s="21" t="s">
        <v>136</v>
      </c>
      <c r="I28" s="35" t="n">
        <f aca="false">('Balance Sheet'!I14-'Balance Sheet'!I34)/'Balance Sheet'!I26</f>
        <v>-0.00119549696144522</v>
      </c>
      <c r="J28" s="35" t="n">
        <f aca="false">('Balance Sheet'!J14-'Balance Sheet'!J34)/'Balance Sheet'!J26</f>
        <v>0.00455333174759591</v>
      </c>
      <c r="K28" s="35" t="n">
        <f aca="false">('Balance Sheet'!K14-'Balance Sheet'!K34)/'Balance Sheet'!K26</f>
        <v>0.0164942655222165</v>
      </c>
    </row>
    <row r="29" customFormat="false" ht="15" hidden="false" customHeight="true" outlineLevel="0" collapsed="false">
      <c r="A29" s="21" t="s">
        <v>137</v>
      </c>
      <c r="I29" s="35" t="n">
        <f aca="false">'Balance Sheet'!I44/'Balance Sheet'!I26</f>
        <v>0.0151318920953298</v>
      </c>
      <c r="J29" s="35" t="n">
        <f aca="false">'Balance Sheet'!J44/'Balance Sheet'!J26</f>
        <v>0.0245902567761958</v>
      </c>
      <c r="K29" s="35" t="n">
        <f aca="false">'Balance Sheet'!K44/'Balance Sheet'!K26</f>
        <v>-0.0565989289120387</v>
      </c>
    </row>
    <row r="30" customFormat="false" ht="15" hidden="false" customHeight="true" outlineLevel="0" collapsed="false">
      <c r="A30" s="21" t="s">
        <v>138</v>
      </c>
      <c r="I30" s="35" t="n">
        <f aca="false">'Income Statement'!I20/'Balance Sheet'!I26</f>
        <v>0.0595091820808289</v>
      </c>
      <c r="J30" s="35" t="n">
        <f aca="false">'Income Statement'!J20/'Balance Sheet'!J26</f>
        <v>0.0610735442364108</v>
      </c>
      <c r="K30" s="35" t="n">
        <f aca="false">'Income Statement'!K20/'Balance Sheet'!K26</f>
        <v>0.0576504536228694</v>
      </c>
    </row>
    <row r="31" customFormat="false" ht="15" hidden="false" customHeight="true" outlineLevel="0" collapsed="false">
      <c r="A31" s="21" t="s">
        <v>139</v>
      </c>
      <c r="I31" s="35" t="n">
        <f aca="false">'Balance Sheet'!I48/'Balance Sheet'!I39</f>
        <v>1.21934165497206</v>
      </c>
      <c r="J31" s="35" t="n">
        <f aca="false">'Balance Sheet'!J48/'Balance Sheet'!J39</f>
        <v>1.26238386119809</v>
      </c>
      <c r="K31" s="35" t="n">
        <f aca="false">'Balance Sheet'!K48/'Balance Sheet'!K39</f>
        <v>1.04167812585944</v>
      </c>
    </row>
    <row r="32" customFormat="false" ht="15" hidden="false" customHeight="true" outlineLevel="0" collapsed="false">
      <c r="A32" s="34" t="s">
        <v>140</v>
      </c>
      <c r="I32" s="36" t="n">
        <f aca="false">6.56*I28+3.26*I29+6.72*I30+1.05*I31</f>
        <v>1.72169794946752</v>
      </c>
      <c r="J32" s="36" t="n">
        <f aca="false">6.56*J28+3.26*J29+6.72*J30+1.05*J31</f>
        <v>1.8459513648813</v>
      </c>
      <c r="K32" s="36" t="n">
        <f aca="false">6.56*K28+3.26*K29+6.72*K30+1.05*K31</f>
        <v>1.40486295407059</v>
      </c>
    </row>
    <row r="33" customFormat="false" ht="15" hidden="false" customHeight="true" outlineLevel="0" collapsed="false">
      <c r="A33" s="34" t="s">
        <v>141</v>
      </c>
      <c r="I33" s="21" t="str">
        <f aca="false">IF(I32&gt;2.6,"Safe",IF(I32&gt;1.1,"Grey Zone","Distress Zone"))</f>
        <v>Grey Zone</v>
      </c>
      <c r="J33" s="21" t="str">
        <f aca="false">IF(J32&gt;2.6,"Safe",IF(J32&gt;1.1,"Grey Zone","Distress Zone"))</f>
        <v>Grey Zone</v>
      </c>
      <c r="K33" s="21" t="str">
        <f aca="false">IF(K32&gt;2.6,"Safe",IF(K32&gt;1.1,"Grey Zone","Distress Zone"))</f>
        <v>Grey Zone</v>
      </c>
    </row>
    <row r="34" customFormat="false" ht="18" hidden="false" customHeight="true" outlineLevel="0" collapsed="false">
      <c r="A34" s="37"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11" min="2" style="1" width="12"/>
  </cols>
  <sheetData>
    <row r="1" customFormat="false" ht="17.25" hidden="false" customHeight="true" outlineLevel="0" collapsed="false">
      <c r="A1" s="28" t="s">
        <v>143</v>
      </c>
    </row>
    <row r="2" customFormat="false" ht="15" hidden="false" customHeight="true" outlineLevel="0" collapsed="false">
      <c r="A2" s="29" t="s">
        <v>144</v>
      </c>
    </row>
    <row r="4" customFormat="false" ht="15" hidden="false" customHeight="true" outlineLevel="0" collapsed="false">
      <c r="A4" s="31" t="s">
        <v>145</v>
      </c>
      <c r="B4" s="31"/>
      <c r="C4" s="31"/>
      <c r="D4" s="31"/>
      <c r="E4" s="31"/>
      <c r="F4" s="31"/>
    </row>
    <row r="6" customFormat="false" ht="15" hidden="false" customHeight="true" outlineLevel="0" collapsed="false">
      <c r="A6" s="21" t="s">
        <v>119</v>
      </c>
      <c r="B6" s="30" t="str">
        <f aca="false">'Income Statement'!B4</f>
        <v>2016</v>
      </c>
      <c r="C6" s="30" t="str">
        <f aca="false">'Income Statement'!C4</f>
        <v>2017</v>
      </c>
      <c r="D6" s="30" t="str">
        <f aca="false">'Income Statement'!D4</f>
        <v>2018</v>
      </c>
      <c r="E6" s="30" t="str">
        <f aca="false">'Income Statement'!E4</f>
        <v>2019</v>
      </c>
      <c r="F6" s="30" t="str">
        <f aca="false">'Income Statement'!F4</f>
        <v>2020</v>
      </c>
      <c r="G6" s="30" t="str">
        <f aca="false">'Income Statement'!G4</f>
        <v>2021</v>
      </c>
      <c r="H6" s="30" t="str">
        <f aca="false">'Income Statement'!H4</f>
        <v>2022</v>
      </c>
      <c r="I6" s="30" t="str">
        <f aca="false">'Income Statement'!I4</f>
        <v>2023</v>
      </c>
      <c r="J6" s="30" t="str">
        <f aca="false">'Income Statement'!J4</f>
        <v>2024</v>
      </c>
      <c r="K6" s="30" t="str">
        <f aca="false">'Income Statement'!K4</f>
        <v>2025</v>
      </c>
    </row>
    <row r="8" customFormat="false" ht="15" hidden="false" customHeight="true" outlineLevel="0" collapsed="false">
      <c r="A8" s="21" t="s">
        <v>146</v>
      </c>
      <c r="B8" s="38" t="n">
        <f aca="false">'Income Statement'!B6</f>
        <v>26481</v>
      </c>
      <c r="C8" s="38" t="n">
        <f aca="false">'Income Statement'!C6</f>
        <v>26076</v>
      </c>
      <c r="D8" s="38" t="n">
        <f aca="false">'Income Statement'!D6</f>
        <v>26268</v>
      </c>
      <c r="E8" s="38" t="n">
        <f aca="false">'Income Statement'!E6</f>
        <v>24977</v>
      </c>
      <c r="F8" s="38" t="n">
        <f aca="false">'Income Statement'!F6</f>
        <v>26184</v>
      </c>
      <c r="G8" s="38" t="n">
        <f aca="false">'Income Statement'!G6</f>
        <v>26043</v>
      </c>
      <c r="H8" s="38" t="n">
        <f aca="false">'Income Statement'!H6</f>
        <v>26484</v>
      </c>
      <c r="I8" s="38" t="n">
        <f aca="false">'Income Statement'!I6</f>
        <v>26640</v>
      </c>
      <c r="J8" s="38" t="n">
        <f aca="false">'Income Statement'!J6</f>
        <v>25846</v>
      </c>
      <c r="K8" s="38" t="n">
        <f aca="false">'Income Statement'!K6</f>
        <v>24942</v>
      </c>
    </row>
    <row r="9" customFormat="false" ht="15" hidden="false" customHeight="true" outlineLevel="0" collapsed="false">
      <c r="A9" s="21" t="s">
        <v>147</v>
      </c>
      <c r="B9" s="38" t="n">
        <f aca="false">'Income Statement'!B20+'Income Statement'!B11+'Income Statement'!B13</f>
        <v>8435</v>
      </c>
      <c r="C9" s="38" t="n">
        <f aca="false">'Income Statement'!C20+'Income Statement'!C11+'Income Statement'!C13</f>
        <v>8006</v>
      </c>
      <c r="D9" s="38" t="n">
        <f aca="false">'Income Statement'!D20+'Income Statement'!D11+'Income Statement'!D13</f>
        <v>6841</v>
      </c>
      <c r="E9" s="38" t="n">
        <f aca="false">'Income Statement'!E20+'Income Statement'!E11+'Income Statement'!E13</f>
        <v>5999</v>
      </c>
      <c r="F9" s="38" t="n">
        <f aca="false">'Income Statement'!F20+'Income Statement'!F11+'Income Statement'!F13</f>
        <v>6560</v>
      </c>
      <c r="G9" s="38" t="n">
        <f aca="false">'Income Statement'!G20+'Income Statement'!G11+'Income Statement'!G13</f>
        <v>5980</v>
      </c>
      <c r="H9" s="38" t="n">
        <f aca="false">'Income Statement'!H20+'Income Statement'!H11+'Income Statement'!H13</f>
        <v>5474</v>
      </c>
      <c r="I9" s="38" t="n">
        <f aca="false">'Income Statement'!I20+'Income Statement'!I11+'Income Statement'!I13</f>
        <v>6337</v>
      </c>
      <c r="J9" s="38" t="n">
        <f aca="false">'Income Statement'!J20+'Income Statement'!J11+'Income Statement'!J13</f>
        <v>6340</v>
      </c>
      <c r="K9" s="38" t="n">
        <f aca="false">'Income Statement'!K20+'Income Statement'!K11+'Income Statement'!K13</f>
        <v>5683</v>
      </c>
    </row>
    <row r="10" customFormat="false" ht="15" hidden="false" customHeight="true" outlineLevel="0" collapsed="false">
      <c r="A10" s="21" t="s">
        <v>148</v>
      </c>
      <c r="B10" s="39" t="n">
        <f aca="false">'Income Statement'!B55</f>
        <v>2.83648315529992</v>
      </c>
      <c r="C10" s="39" t="n">
        <f aca="false">'Income Statement'!C55</f>
        <v>8.98275862068966</v>
      </c>
      <c r="D10" s="39" t="n">
        <f aca="false">'Income Statement'!D55</f>
        <v>-8.36095159967186</v>
      </c>
      <c r="E10" s="39" t="n">
        <f aca="false">'Income Statement'!E55</f>
        <v>1.58476658476658</v>
      </c>
      <c r="F10" s="39" t="n">
        <f aca="false">'Income Statement'!F55</f>
        <v>0.291087489779231</v>
      </c>
      <c r="G10" s="39" t="n">
        <f aca="false">'Income Statement'!G55</f>
        <v>0.826797385620915</v>
      </c>
      <c r="H10" s="39" t="n">
        <f aca="false">'Income Statement'!H55</f>
        <v>1.92740619902121</v>
      </c>
      <c r="I10" s="39" t="n">
        <f aca="false">'Income Statement'!I55</f>
        <v>2.32681336593317</v>
      </c>
      <c r="J10" s="39" t="n">
        <f aca="false">'Income Statement'!J55</f>
        <v>2.26776859504132</v>
      </c>
      <c r="K10" s="39" t="n">
        <f aca="false">'Income Statement'!K55</f>
        <v>-4.92502106149958</v>
      </c>
    </row>
    <row r="12" customFormat="false" ht="15" hidden="false" customHeight="true" outlineLevel="0" collapsed="false">
      <c r="A12" s="21" t="s">
        <v>149</v>
      </c>
    </row>
    <row r="13" customFormat="false" ht="15" hidden="false" customHeight="true" outlineLevel="0" collapsed="false">
      <c r="A13" s="21" t="s">
        <v>150</v>
      </c>
      <c r="C13" s="40" t="n">
        <f aca="false">(K8/B8)^(1/9)-1</f>
        <v>-0.00663062698009553</v>
      </c>
    </row>
    <row r="14" customFormat="false" ht="15" hidden="false" customHeight="true" outlineLevel="0" collapsed="false">
      <c r="A14" s="21" t="s">
        <v>151</v>
      </c>
      <c r="C14" s="40" t="n">
        <f aca="false">(K9/B9)^(1/9)-1</f>
        <v>-0.0429301859964857</v>
      </c>
    </row>
    <row r="15" customFormat="false" ht="15" hidden="false" customHeight="true" outlineLevel="0" collapsed="false">
      <c r="A15" s="21" t="s">
        <v>152</v>
      </c>
      <c r="C15" s="21" t="s">
        <v>153</v>
      </c>
    </row>
    <row r="16" customFormat="false" ht="45" hidden="false" customHeight="true" outlineLevel="0" collapsed="false">
      <c r="A16" s="37" t="s">
        <v>154</v>
      </c>
    </row>
    <row r="18" customFormat="false" ht="15" hidden="false" customHeight="true" outlineLevel="0" collapsed="false">
      <c r="A18" s="31" t="s">
        <v>155</v>
      </c>
      <c r="B18" s="31"/>
      <c r="C18" s="31"/>
      <c r="D18" s="31"/>
      <c r="E18" s="31"/>
      <c r="F18" s="31"/>
    </row>
    <row r="20" customFormat="false" ht="15" hidden="false" customHeight="true" outlineLevel="0" collapsed="false">
      <c r="A20" s="21" t="s">
        <v>119</v>
      </c>
      <c r="B20" s="30" t="str">
        <f aca="false">'Income Statement'!M4</f>
        <v>2026</v>
      </c>
      <c r="C20" s="30" t="str">
        <f aca="false">'Income Statement'!N4</f>
        <v>2027</v>
      </c>
      <c r="D20" s="30" t="str">
        <f aca="false">'Income Statement'!O4</f>
        <v>2028</v>
      </c>
      <c r="E20" s="30" t="str">
        <f aca="false">'Income Statement'!P4</f>
        <v>2029</v>
      </c>
      <c r="F20" s="30" t="str">
        <f aca="false">'Income Statement'!Q4</f>
        <v>2030</v>
      </c>
    </row>
    <row r="22" customFormat="false" ht="15" hidden="false" customHeight="true" outlineLevel="0" collapsed="false">
      <c r="A22" s="21" t="s">
        <v>146</v>
      </c>
      <c r="B22" s="38" t="n">
        <f aca="false">'Income Statement'!M6</f>
        <v>24786.5393566281</v>
      </c>
      <c r="C22" s="38" t="n">
        <f aca="false">'Income Statement'!N6</f>
        <v>24632.0476817285</v>
      </c>
      <c r="D22" s="38" t="n">
        <f aca="false">'Income Statement'!O6</f>
        <v>24478.5189358312</v>
      </c>
      <c r="E22" s="38" t="n">
        <f aca="false">'Income Statement'!P6</f>
        <v>24325.9471171095</v>
      </c>
      <c r="F22" s="38" t="n">
        <f aca="false">'Income Statement'!Q6</f>
        <v>24174.3262611454</v>
      </c>
    </row>
    <row r="23" customFormat="false" ht="15" hidden="false" customHeight="true" outlineLevel="0" collapsed="false">
      <c r="A23" s="21" t="s">
        <v>156</v>
      </c>
      <c r="B23" s="38" t="n">
        <f aca="false">'Income Statement'!M20+'Income Statement'!M11+'Income Statement'!M13</f>
        <v>6256.21327740504</v>
      </c>
      <c r="C23" s="38" t="n">
        <f aca="false">'Income Statement'!N20+'Income Statement'!N11+'Income Statement'!N13</f>
        <v>6217.21901306467</v>
      </c>
      <c r="D23" s="38" t="n">
        <f aca="false">'Income Statement'!O20+'Income Statement'!O11+'Income Statement'!O13</f>
        <v>6178.46779552978</v>
      </c>
      <c r="E23" s="38" t="n">
        <f aca="false">'Income Statement'!P20+'Income Statement'!P11+'Income Statement'!P13</f>
        <v>6139.95810991732</v>
      </c>
      <c r="F23" s="38" t="n">
        <f aca="false">'Income Statement'!Q20+'Income Statement'!Q11+'Income Statement'!Q13</f>
        <v>6101.68845078636</v>
      </c>
    </row>
    <row r="24" customFormat="false" ht="15" hidden="false" customHeight="true" outlineLevel="0" collapsed="false">
      <c r="A24" s="21" t="s">
        <v>148</v>
      </c>
      <c r="B24" s="39" t="n">
        <f aca="false">'Income Statement'!M55</f>
        <v>2.86438731516768</v>
      </c>
      <c r="C24" s="39" t="n">
        <f aca="false">'Income Statement'!N55</f>
        <v>2.83133531004904</v>
      </c>
      <c r="D24" s="39" t="n">
        <f aca="false">'Income Statement'!O55</f>
        <v>2.79963213028968</v>
      </c>
      <c r="E24" s="39" t="n">
        <f aca="false">'Income Statement'!P55</f>
        <v>2.76915957157903</v>
      </c>
      <c r="F24" s="39" t="n">
        <f aca="false">'Income Statement'!Q55</f>
        <v>2.73981071942982</v>
      </c>
    </row>
    <row r="26" customFormat="false" ht="15" hidden="false" customHeight="true" outlineLevel="0" collapsed="false">
      <c r="A26" s="21" t="s">
        <v>157</v>
      </c>
    </row>
    <row r="27" customFormat="false" ht="15" hidden="false" customHeight="true" outlineLevel="0" collapsed="false">
      <c r="A27" s="21" t="s">
        <v>150</v>
      </c>
      <c r="C27" s="40" t="n">
        <f aca="false">(F22/B22)^(1/4)-1</f>
        <v>-0.00623288603046834</v>
      </c>
    </row>
    <row r="28" customFormat="false" ht="15" hidden="false" customHeight="true" outlineLevel="0" collapsed="false">
      <c r="A28" s="21" t="s">
        <v>151</v>
      </c>
      <c r="C28" s="40" t="n">
        <f aca="false">(F23/B23)^(1/4)-1</f>
        <v>-0.00623288603046823</v>
      </c>
    </row>
    <row r="29" customFormat="false" ht="15" hidden="false" customHeight="true" outlineLevel="0" collapsed="false">
      <c r="A29" s="21" t="s">
        <v>158</v>
      </c>
      <c r="C29" s="40" t="n">
        <f aca="false">(F24/B24)^(1/4)-1</f>
        <v>-0.0110548505814494</v>
      </c>
    </row>
    <row r="30" customFormat="false" ht="30" hidden="false" customHeight="true" outlineLevel="0" collapsed="false">
      <c r="A30" s="37" t="s">
        <v>159</v>
      </c>
    </row>
    <row r="32" customFormat="false" ht="15" hidden="false" customHeight="true" outlineLevel="0" collapsed="false">
      <c r="A32" s="31" t="s">
        <v>160</v>
      </c>
      <c r="B32" s="31"/>
      <c r="C32" s="31"/>
      <c r="D32" s="31"/>
      <c r="E32" s="31"/>
      <c r="F32" s="31"/>
    </row>
    <row r="33" customFormat="false" ht="18" hidden="false" customHeight="true" outlineLevel="0" collapsed="false">
      <c r="A33" s="37" t="s">
        <v>161</v>
      </c>
    </row>
    <row r="35" customFormat="false" ht="15" hidden="false" customHeight="true" outlineLevel="0" collapsed="false">
      <c r="A35" s="34" t="s">
        <v>162</v>
      </c>
      <c r="B35" s="34" t="s">
        <v>163</v>
      </c>
      <c r="C35" s="34" t="s">
        <v>164</v>
      </c>
      <c r="D35" s="34" t="s">
        <v>165</v>
      </c>
    </row>
    <row r="36" customFormat="false" ht="15" hidden="false" customHeight="true" outlineLevel="0" collapsed="false">
      <c r="A36" s="21" t="s">
        <v>166</v>
      </c>
      <c r="B36" s="41" t="n">
        <v>0.0202038797300392</v>
      </c>
      <c r="C36" s="42" t="s">
        <v>167</v>
      </c>
      <c r="D36" s="42" t="s">
        <v>168</v>
      </c>
    </row>
    <row r="37" customFormat="false" ht="15" hidden="false" customHeight="true" outlineLevel="0" collapsed="false">
      <c r="A37" s="21" t="s">
        <v>169</v>
      </c>
      <c r="B37" s="41" t="n">
        <v>0.0121903610711256</v>
      </c>
      <c r="C37" s="42" t="s">
        <v>170</v>
      </c>
      <c r="D37" s="42" t="s">
        <v>171</v>
      </c>
    </row>
    <row r="38" customFormat="false" ht="15" hidden="false" customHeight="true" outlineLevel="0" collapsed="false">
      <c r="A38" s="21" t="s">
        <v>172</v>
      </c>
      <c r="B38" s="41" t="n">
        <v>0.0354793207271378</v>
      </c>
      <c r="C38" s="42" t="s">
        <v>173</v>
      </c>
      <c r="D38" s="42" t="s">
        <v>168</v>
      </c>
    </row>
    <row r="39" customFormat="false" ht="15" hidden="false" customHeight="true" outlineLevel="0" collapsed="false">
      <c r="A39" s="21" t="s">
        <v>174</v>
      </c>
      <c r="B39" s="41" t="n">
        <v>0.0489805825242718</v>
      </c>
      <c r="C39" s="42" t="s">
        <v>175</v>
      </c>
      <c r="D39" s="42" t="s">
        <v>168</v>
      </c>
    </row>
    <row r="40" customFormat="false" ht="15" hidden="false" customHeight="true" outlineLevel="0" collapsed="false">
      <c r="A40" s="21" t="s">
        <v>176</v>
      </c>
      <c r="B40" s="41" t="n">
        <v>0.07</v>
      </c>
      <c r="C40" s="42" t="s">
        <v>177</v>
      </c>
      <c r="D40" s="42" t="s">
        <v>178</v>
      </c>
    </row>
    <row r="41" customFormat="false" ht="15" hidden="false" customHeight="true" outlineLevel="0" collapsed="false">
      <c r="A41" s="21" t="s">
        <v>179</v>
      </c>
      <c r="B41" s="41" t="n">
        <v>0.0606617647058824</v>
      </c>
      <c r="C41" s="42" t="s">
        <v>177</v>
      </c>
      <c r="D41" s="42" t="s">
        <v>168</v>
      </c>
    </row>
    <row r="43" customFormat="false" ht="15" hidden="false" customHeight="true" outlineLevel="0" collapsed="false">
      <c r="A43" s="31" t="s">
        <v>180</v>
      </c>
      <c r="B43" s="31"/>
      <c r="C43" s="31"/>
      <c r="D43" s="31"/>
      <c r="E43" s="31"/>
      <c r="F43" s="31"/>
    </row>
    <row r="45" customFormat="false" ht="15" hidden="false" customHeight="true" outlineLevel="0" collapsed="false">
      <c r="A45" s="34" t="s">
        <v>162</v>
      </c>
      <c r="B45" s="34" t="s">
        <v>181</v>
      </c>
      <c r="C45" s="34" t="s">
        <v>182</v>
      </c>
    </row>
    <row r="46" customFormat="false" ht="15" hidden="false" customHeight="true" outlineLevel="0" collapsed="false">
      <c r="A46" s="21" t="s">
        <v>183</v>
      </c>
      <c r="B46" s="40" t="n">
        <f aca="false">C13</f>
        <v>-0.00663062698009553</v>
      </c>
      <c r="C46" s="40" t="n">
        <f aca="false">B36</f>
        <v>0.0202038797300392</v>
      </c>
    </row>
    <row r="47" customFormat="false" ht="15" hidden="false" customHeight="true" outlineLevel="0" collapsed="false">
      <c r="A47" s="21" t="s">
        <v>169</v>
      </c>
      <c r="B47" s="40" t="str">
        <f aca="false">"n/m (sign reversals)"</f>
        <v>n/m (sign reversals)</v>
      </c>
      <c r="C47" s="40" t="n">
        <f aca="false">B37</f>
        <v>0.0121903610711256</v>
      </c>
    </row>
    <row r="48" customFormat="false" ht="15" hidden="false" customHeight="true" outlineLevel="0" collapsed="false">
      <c r="A48" s="21" t="s">
        <v>184</v>
      </c>
      <c r="B48" s="40" t="n">
        <f aca="false">C27</f>
        <v>-0.00623288603046834</v>
      </c>
      <c r="C48" s="40" t="n">
        <f aca="false">B38</f>
        <v>0.0354793207271378</v>
      </c>
    </row>
    <row r="49" customFormat="false" ht="15" hidden="false" customHeight="true" outlineLevel="0" collapsed="false">
      <c r="A49" s="21" t="s">
        <v>185</v>
      </c>
      <c r="B49" s="40" t="n">
        <f aca="false">C29</f>
        <v>-0.0110548505814494</v>
      </c>
      <c r="C49" s="40" t="n">
        <f aca="false">B39</f>
        <v>0.0489805825242718</v>
      </c>
    </row>
    <row r="50" customFormat="false" ht="15" hidden="false" customHeight="true" outlineLevel="0" collapsed="false">
      <c r="A50" s="21" t="s">
        <v>179</v>
      </c>
      <c r="B50" s="40" t="n">
        <f aca="false">C28</f>
        <v>-0.00623288603046823</v>
      </c>
      <c r="C50" s="40" t="n">
        <f aca="false">B41</f>
        <v>0.0606617647058824</v>
      </c>
    </row>
    <row r="52" customFormat="false" ht="30" hidden="false" customHeight="true" outlineLevel="0" collapsed="false">
      <c r="A52" s="37"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5" min="2" style="1" width="16"/>
  </cols>
  <sheetData>
    <row r="1" customFormat="false" ht="17.25" hidden="false" customHeight="true" outlineLevel="0" collapsed="false">
      <c r="A1" s="28" t="s">
        <v>187</v>
      </c>
    </row>
    <row r="2" customFormat="false" ht="15" hidden="false" customHeight="true" outlineLevel="0" collapsed="false">
      <c r="A2" s="29" t="s">
        <v>188</v>
      </c>
    </row>
    <row r="4" customFormat="false" ht="15" hidden="false" customHeight="true" outlineLevel="0" collapsed="false">
      <c r="A4" s="31" t="s">
        <v>189</v>
      </c>
      <c r="B4" s="31"/>
      <c r="C4" s="31"/>
      <c r="D4" s="31"/>
      <c r="E4" s="31"/>
      <c r="F4" s="31"/>
    </row>
    <row r="6" customFormat="false" ht="18" hidden="false" customHeight="true" outlineLevel="0" collapsed="false">
      <c r="A6" s="37" t="s">
        <v>190</v>
      </c>
    </row>
    <row r="7" customFormat="false" ht="60" hidden="false" customHeight="true" outlineLevel="0" collapsed="false">
      <c r="A7" s="37" t="s">
        <v>191</v>
      </c>
    </row>
    <row r="9" customFormat="false" ht="15" hidden="false" customHeight="true" outlineLevel="0" collapsed="false">
      <c r="A9" s="31" t="s">
        <v>192</v>
      </c>
      <c r="B9" s="31"/>
      <c r="C9" s="31"/>
      <c r="D9" s="31"/>
      <c r="E9" s="31"/>
      <c r="F9" s="31"/>
    </row>
    <row r="11" customFormat="false" ht="15" hidden="false" customHeight="true" outlineLevel="0" collapsed="false">
      <c r="A11" s="21" t="s">
        <v>162</v>
      </c>
      <c r="B11" s="34" t="s">
        <v>181</v>
      </c>
      <c r="C11" s="34" t="s">
        <v>182</v>
      </c>
    </row>
    <row r="12" customFormat="false" ht="15" hidden="false" customHeight="true" outlineLevel="0" collapsed="false">
      <c r="A12" s="21" t="s">
        <v>193</v>
      </c>
      <c r="B12" s="43" t="n">
        <v>25.37</v>
      </c>
      <c r="C12" s="43" t="n">
        <v>50.61</v>
      </c>
    </row>
    <row r="13" customFormat="false" ht="15" hidden="false" customHeight="true" outlineLevel="0" collapsed="false">
      <c r="A13" s="21" t="s">
        <v>194</v>
      </c>
      <c r="B13" s="44" t="n">
        <f aca="false">'Income Statement'!$K$35</f>
        <v>1187</v>
      </c>
      <c r="C13" s="45" t="n">
        <v>269.4</v>
      </c>
    </row>
    <row r="14" customFormat="false" ht="15" hidden="false" customHeight="true" outlineLevel="0" collapsed="false">
      <c r="A14" s="21" t="s">
        <v>195</v>
      </c>
      <c r="B14" s="46" t="n">
        <v>-5813.28379545895</v>
      </c>
      <c r="C14" s="46" t="n">
        <v>802.613241103194</v>
      </c>
    </row>
    <row r="15" customFormat="false" ht="15" hidden="false" customHeight="true" outlineLevel="0" collapsed="false">
      <c r="A15" s="21" t="s">
        <v>196</v>
      </c>
      <c r="B15" s="22" t="n">
        <f aca="false">B14/B13</f>
        <v>-4.89745896837317</v>
      </c>
      <c r="C15" s="22" t="n">
        <f aca="false">C14/C13</f>
        <v>2.97926221641869</v>
      </c>
    </row>
    <row r="16" customFormat="false" ht="15" hidden="false" customHeight="true" outlineLevel="0" collapsed="false">
      <c r="A16" s="21" t="s">
        <v>197</v>
      </c>
      <c r="B16" s="46" t="n">
        <v>4745.46165077395</v>
      </c>
      <c r="C16" s="46" t="n">
        <v>1109.3205369872</v>
      </c>
    </row>
    <row r="17" customFormat="false" ht="15" hidden="false" customHeight="true" outlineLevel="0" collapsed="false">
      <c r="A17" s="21" t="s">
        <v>198</v>
      </c>
      <c r="B17" s="46" t="n">
        <v>1104.6</v>
      </c>
      <c r="C17" s="46" t="n">
        <v>319.54</v>
      </c>
    </row>
    <row r="18" customFormat="false" ht="15" hidden="false" customHeight="true" outlineLevel="0" collapsed="false">
      <c r="A18" s="21" t="s">
        <v>199</v>
      </c>
      <c r="B18" s="47" t="n">
        <f aca="false">B16+B17</f>
        <v>5850.06165077395</v>
      </c>
      <c r="C18" s="47" t="n">
        <f aca="false">C16+C17</f>
        <v>1428.8605369872</v>
      </c>
    </row>
    <row r="19" customFormat="false" ht="15" hidden="false" customHeight="true" outlineLevel="0" collapsed="false">
      <c r="A19" s="21" t="s">
        <v>200</v>
      </c>
      <c r="B19" s="38" t="n">
        <f aca="false">'Cost of Capital (WACC)'!$B$59</f>
        <v>21772</v>
      </c>
      <c r="C19" s="46" t="n">
        <v>4222.9</v>
      </c>
    </row>
    <row r="20" customFormat="false" ht="15" hidden="false" customHeight="true" outlineLevel="0" collapsed="false">
      <c r="A20" s="21" t="s">
        <v>65</v>
      </c>
      <c r="B20" s="38" t="n">
        <f aca="false">'Balance Sheet'!$K$7</f>
        <v>3839</v>
      </c>
      <c r="C20" s="46" t="n">
        <v>95.9</v>
      </c>
    </row>
    <row r="21" customFormat="false" ht="15" hidden="false" customHeight="true" outlineLevel="0" collapsed="false">
      <c r="A21" s="21" t="s">
        <v>201</v>
      </c>
      <c r="B21" s="47" t="n">
        <f aca="false">B12*B13</f>
        <v>30114.19</v>
      </c>
      <c r="C21" s="47" t="n">
        <f aca="false">C12*C13</f>
        <v>13634.334</v>
      </c>
    </row>
    <row r="22" customFormat="false" ht="15" hidden="false" customHeight="true" outlineLevel="0" collapsed="false">
      <c r="A22" s="21" t="s">
        <v>202</v>
      </c>
      <c r="B22" s="47" t="n">
        <f aca="false">B21+B19-B20</f>
        <v>48047.19</v>
      </c>
      <c r="C22" s="47" t="n">
        <f aca="false">C21+C19-C20</f>
        <v>17761.334</v>
      </c>
    </row>
    <row r="23" customFormat="false" ht="15" hidden="false" customHeight="true" outlineLevel="0" collapsed="false">
      <c r="A23" s="21" t="s">
        <v>203</v>
      </c>
      <c r="B23" s="38" t="n">
        <f aca="false">'Income Statement'!$M$33</f>
        <v>3400.02774310403</v>
      </c>
    </row>
    <row r="24" customFormat="false" ht="15" hidden="false" customHeight="true" outlineLevel="0" collapsed="false">
      <c r="A24" s="21" t="s">
        <v>204</v>
      </c>
      <c r="B24" s="22" t="n">
        <f aca="false">B23/B13</f>
        <v>2.86438731516768</v>
      </c>
    </row>
    <row r="26" customFormat="false" ht="15" hidden="false" customHeight="true" outlineLevel="0" collapsed="false">
      <c r="A26" s="31" t="s">
        <v>205</v>
      </c>
      <c r="B26" s="31"/>
      <c r="C26" s="31"/>
      <c r="D26" s="31"/>
      <c r="E26" s="31"/>
      <c r="F26" s="31"/>
    </row>
    <row r="28" customFormat="false" ht="15" hidden="false" customHeight="true" outlineLevel="0" collapsed="false">
      <c r="A28" s="21" t="s">
        <v>206</v>
      </c>
      <c r="C28" s="48" t="n">
        <f aca="false">C12/C15</f>
        <v>16.9874271962665</v>
      </c>
    </row>
    <row r="29" customFormat="false" ht="15" hidden="false" customHeight="true" outlineLevel="0" collapsed="false">
      <c r="A29" s="21" t="s">
        <v>207</v>
      </c>
      <c r="C29" s="48" t="n">
        <f aca="false">C22/C18</f>
        <v>12.4304181830442</v>
      </c>
    </row>
    <row r="30" customFormat="false" ht="60" hidden="false" customHeight="true" outlineLevel="0" collapsed="false">
      <c r="A30" s="37" t="s">
        <v>208</v>
      </c>
    </row>
    <row r="32" customFormat="false" ht="15" hidden="false" customHeight="true" outlineLevel="0" collapsed="false">
      <c r="A32" s="31" t="s">
        <v>209</v>
      </c>
      <c r="B32" s="31"/>
      <c r="C32" s="31"/>
      <c r="D32" s="31"/>
      <c r="E32" s="31"/>
      <c r="F32" s="31"/>
    </row>
    <row r="34" customFormat="false" ht="15" hidden="false" customHeight="true" outlineLevel="0" collapsed="false">
      <c r="A34" s="34" t="s">
        <v>210</v>
      </c>
      <c r="B34" s="34" t="s">
        <v>211</v>
      </c>
      <c r="C34" s="34" t="s">
        <v>212</v>
      </c>
      <c r="D34" s="34" t="s">
        <v>213</v>
      </c>
      <c r="E34" s="34" t="s">
        <v>214</v>
      </c>
    </row>
    <row r="35" customFormat="false" ht="15" hidden="false" customHeight="true" outlineLevel="0" collapsed="false">
      <c r="A35" s="21" t="s">
        <v>215</v>
      </c>
      <c r="B35" s="48" t="n">
        <f aca="false">C29</f>
        <v>12.4304181830442</v>
      </c>
      <c r="C35" s="47" t="n">
        <f aca="false">B18</f>
        <v>5850.06165077395</v>
      </c>
      <c r="D35" s="47" t="n">
        <f aca="false">B35*C35</f>
        <v>72718.7127157101</v>
      </c>
      <c r="E35" s="49" t="n">
        <f aca="false">(D35-B19+B20)/B13</f>
        <v>46.1547706113817</v>
      </c>
    </row>
    <row r="36" customFormat="false" ht="15" hidden="false" customHeight="true" outlineLevel="0" collapsed="false">
      <c r="A36" s="21" t="s">
        <v>216</v>
      </c>
      <c r="B36" s="48" t="n">
        <f aca="false">C28</f>
        <v>16.9874271962665</v>
      </c>
      <c r="C36" s="22" t="n">
        <f aca="false">B15</f>
        <v>-4.89745896837317</v>
      </c>
      <c r="D36" s="21" t="str">
        <f aca="false">"n/m"</f>
        <v>n/m</v>
      </c>
      <c r="E36" s="21" t="str">
        <f aca="false">"n/m"</f>
        <v>n/m</v>
      </c>
    </row>
    <row r="37" customFormat="false" ht="15" hidden="false" customHeight="true" outlineLevel="0" collapsed="false">
      <c r="A37" s="21" t="s">
        <v>217</v>
      </c>
      <c r="B37" s="48" t="n">
        <f aca="false">C28</f>
        <v>16.9874271962665</v>
      </c>
      <c r="C37" s="22" t="n">
        <f aca="false">B24</f>
        <v>2.86438731516768</v>
      </c>
      <c r="D37" s="50" t="n">
        <f aca="false">B37*C37</f>
        <v>48.6585709783202</v>
      </c>
      <c r="E37" s="49" t="n">
        <f aca="false">D37</f>
        <v>48.6585709783202</v>
      </c>
    </row>
    <row r="39" customFormat="false" ht="15" hidden="false" customHeight="true" outlineLevel="0" collapsed="false">
      <c r="A39" s="21" t="s">
        <v>218</v>
      </c>
      <c r="C39" s="43" t="n">
        <v>25.37</v>
      </c>
    </row>
    <row r="40" customFormat="false" ht="15" hidden="false" customHeight="true" outlineLevel="0" collapsed="false">
      <c r="A40" s="21" t="s">
        <v>219</v>
      </c>
      <c r="C40" s="40" t="n">
        <f aca="false">E35/C39-1</f>
        <v>0.819265692210553</v>
      </c>
    </row>
    <row r="41" customFormat="false" ht="15" hidden="false" customHeight="true" outlineLevel="0" collapsed="false">
      <c r="A41" s="21" t="s">
        <v>220</v>
      </c>
      <c r="C41" s="40" t="n">
        <f aca="false">E37/C39-1</f>
        <v>0.917957074431225</v>
      </c>
    </row>
    <row r="43" customFormat="false" ht="45" hidden="false" customHeight="true" outlineLevel="0" collapsed="false">
      <c r="A43" s="37"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1" ySplit="5" topLeftCell="G6" activePane="bottomRight" state="frozen"/>
      <selection pane="topLeft" activeCell="A1" activeCellId="0" sqref="A1"/>
      <selection pane="topRight" activeCell="G1" activeCellId="0" sqref="G1"/>
      <selection pane="bottomLeft" activeCell="A6" activeCellId="0" sqref="A6"/>
      <selection pane="bottomRight" activeCell="N15" activeCellId="0" sqref="N15"/>
    </sheetView>
  </sheetViews>
  <sheetFormatPr defaultColWidth="8.71484375" defaultRowHeight="15" zeroHeight="false" outlineLevelRow="0" outlineLevelCol="0"/>
  <cols>
    <col collapsed="false" customWidth="true" hidden="false" outlineLevel="0" max="1" min="1" style="1" width="46"/>
    <col collapsed="false" customWidth="true" hidden="false" outlineLevel="0" max="17" min="2" style="1" width="11"/>
  </cols>
  <sheetData>
    <row r="1" customFormat="false" ht="17.25" hidden="false" customHeight="true" outlineLevel="0" collapsed="false">
      <c r="A1" s="2" t="s">
        <v>222</v>
      </c>
    </row>
    <row r="2" customFormat="false" ht="15" hidden="false" customHeight="true" outlineLevel="0" collapsed="false">
      <c r="A2" s="3" t="s">
        <v>223</v>
      </c>
    </row>
    <row r="4" customFormat="false" ht="15" hidden="false" customHeight="true" outlineLevel="0" collapsed="false">
      <c r="B4" s="4" t="s">
        <v>2</v>
      </c>
      <c r="M4" s="4" t="s">
        <v>3</v>
      </c>
    </row>
    <row r="5" customFormat="false" ht="15" hidden="false" customHeight="true" outlineLevel="0" collapsed="false">
      <c r="B5" s="5" t="s">
        <v>4</v>
      </c>
      <c r="C5" s="5" t="s">
        <v>5</v>
      </c>
      <c r="D5" s="5" t="s">
        <v>6</v>
      </c>
      <c r="E5" s="5" t="s">
        <v>7</v>
      </c>
      <c r="F5" s="5" t="s">
        <v>8</v>
      </c>
      <c r="G5" s="5" t="s">
        <v>9</v>
      </c>
      <c r="H5" s="5" t="s">
        <v>10</v>
      </c>
      <c r="I5" s="5" t="s">
        <v>11</v>
      </c>
      <c r="J5" s="5" t="s">
        <v>12</v>
      </c>
      <c r="K5" s="5" t="s">
        <v>13</v>
      </c>
      <c r="M5" s="6" t="s">
        <v>14</v>
      </c>
      <c r="N5" s="6" t="s">
        <v>15</v>
      </c>
      <c r="O5" s="6" t="s">
        <v>16</v>
      </c>
      <c r="P5" s="6" t="s">
        <v>17</v>
      </c>
      <c r="Q5" s="6" t="s">
        <v>18</v>
      </c>
    </row>
    <row r="7" customFormat="false" ht="15" hidden="false" customHeight="true" outlineLevel="0" collapsed="false">
      <c r="A7" s="15" t="s">
        <v>224</v>
      </c>
      <c r="B7" s="16"/>
      <c r="C7" s="16"/>
      <c r="D7" s="16"/>
      <c r="E7" s="16"/>
      <c r="F7" s="16"/>
      <c r="G7" s="16"/>
      <c r="H7" s="16"/>
      <c r="I7" s="16"/>
      <c r="J7" s="16"/>
      <c r="K7" s="16"/>
      <c r="M7" s="16"/>
      <c r="N7" s="16"/>
      <c r="O7" s="16"/>
      <c r="P7" s="16"/>
      <c r="Q7" s="16"/>
    </row>
    <row r="8" customFormat="false" ht="15" hidden="false" customHeight="true" outlineLevel="0" collapsed="false">
      <c r="A8" s="13" t="s">
        <v>225</v>
      </c>
    </row>
    <row r="9" customFormat="false" ht="15" hidden="false" customHeight="true" outlineLevel="0" collapsed="false">
      <c r="A9" s="3" t="s">
        <v>226</v>
      </c>
      <c r="B9" s="7" t="n">
        <v>3642</v>
      </c>
      <c r="C9" s="7" t="n">
        <v>10932</v>
      </c>
      <c r="D9" s="7" t="n">
        <v>-10254</v>
      </c>
      <c r="E9" s="7" t="n">
        <v>1933</v>
      </c>
      <c r="F9" s="7" t="n">
        <v>361</v>
      </c>
      <c r="G9" s="7" t="n">
        <v>1024</v>
      </c>
      <c r="H9" s="7" t="n">
        <v>2368</v>
      </c>
      <c r="I9" s="7" t="n">
        <v>2846</v>
      </c>
      <c r="J9" s="7" t="n">
        <v>2746</v>
      </c>
      <c r="K9" s="7" t="n">
        <v>-5848</v>
      </c>
    </row>
    <row r="10" customFormat="false" ht="15" hidden="false" customHeight="true" outlineLevel="0" collapsed="false">
      <c r="A10" s="3" t="s">
        <v>227</v>
      </c>
      <c r="B10" s="7" t="n">
        <v>1337</v>
      </c>
      <c r="C10" s="7" t="n">
        <v>1031</v>
      </c>
      <c r="D10" s="7" t="n">
        <v>983</v>
      </c>
      <c r="E10" s="7" t="n">
        <v>994</v>
      </c>
      <c r="F10" s="7" t="n">
        <v>969</v>
      </c>
      <c r="G10" s="7" t="n">
        <v>910</v>
      </c>
      <c r="H10" s="7" t="n">
        <v>933</v>
      </c>
      <c r="I10" s="7" t="n">
        <v>961</v>
      </c>
      <c r="J10" s="7" t="n">
        <v>948</v>
      </c>
      <c r="K10" s="7" t="n">
        <v>968</v>
      </c>
    </row>
    <row r="11" customFormat="false" ht="15" hidden="false" customHeight="true" outlineLevel="0" collapsed="false">
      <c r="A11" s="3" t="s">
        <v>228</v>
      </c>
      <c r="B11" s="7" t="n">
        <v>-29</v>
      </c>
      <c r="C11" s="7" t="n">
        <v>-6495</v>
      </c>
      <c r="D11" s="7" t="n">
        <v>-1967</v>
      </c>
      <c r="E11" s="7" t="n">
        <v>-293</v>
      </c>
      <c r="F11" s="7" t="n">
        <v>-343</v>
      </c>
      <c r="G11" s="7" t="n">
        <v>-1042</v>
      </c>
      <c r="H11" s="7" t="n">
        <v>-278</v>
      </c>
      <c r="I11" s="7" t="n">
        <v>17</v>
      </c>
      <c r="J11" s="7" t="n">
        <v>-2857</v>
      </c>
      <c r="K11" s="7" t="n">
        <v>-495</v>
      </c>
    </row>
    <row r="12" customFormat="false" ht="15" hidden="false" customHeight="true" outlineLevel="0" collapsed="false">
      <c r="A12" s="3" t="s">
        <v>229</v>
      </c>
      <c r="B12" s="7" t="n">
        <v>-741</v>
      </c>
      <c r="C12" s="7" t="n">
        <v>-1603</v>
      </c>
      <c r="D12" s="7" t="n">
        <v>15875</v>
      </c>
      <c r="E12" s="7" t="n">
        <v>1151</v>
      </c>
      <c r="F12" s="7" t="n">
        <v>3495</v>
      </c>
      <c r="G12" s="7" t="n">
        <v>4066</v>
      </c>
      <c r="H12" s="7" t="n">
        <v>929</v>
      </c>
      <c r="I12" s="7" t="n">
        <v>958</v>
      </c>
      <c r="J12" s="7" t="n">
        <v>3936</v>
      </c>
      <c r="K12" s="7" t="n">
        <v>9607</v>
      </c>
    </row>
    <row r="13" customFormat="false" ht="15" hidden="false" customHeight="true" outlineLevel="0" collapsed="false">
      <c r="A13" s="3" t="s">
        <v>230</v>
      </c>
      <c r="B13" s="7" t="n">
        <v>534</v>
      </c>
      <c r="C13" s="7" t="n">
        <v>-2629</v>
      </c>
      <c r="D13" s="7" t="n">
        <v>-2280</v>
      </c>
      <c r="E13" s="7" t="n">
        <v>140</v>
      </c>
      <c r="F13" s="7" t="n">
        <v>-26</v>
      </c>
      <c r="G13" s="7" t="n">
        <v>87</v>
      </c>
      <c r="H13" s="7" t="n">
        <v>-228</v>
      </c>
      <c r="I13" s="7" t="n">
        <v>18</v>
      </c>
      <c r="J13" s="7" t="n">
        <v>-139</v>
      </c>
      <c r="K13" s="7" t="n">
        <v>-55</v>
      </c>
    </row>
    <row r="14" customFormat="false" ht="15" hidden="false" customHeight="true" outlineLevel="0" collapsed="false">
      <c r="A14" s="3" t="s">
        <v>231</v>
      </c>
      <c r="B14" s="7" t="n">
        <v>-130</v>
      </c>
      <c r="C14" s="7" t="n">
        <v>-236</v>
      </c>
      <c r="D14" s="7" t="n">
        <v>-251</v>
      </c>
      <c r="E14" s="7" t="n">
        <v>-277</v>
      </c>
      <c r="F14" s="7" t="n">
        <v>-266</v>
      </c>
      <c r="G14" s="7" t="n">
        <v>-144</v>
      </c>
      <c r="H14" s="7" t="n">
        <v>-1121</v>
      </c>
      <c r="I14" s="7" t="n">
        <v>-106</v>
      </c>
      <c r="J14" s="7" t="n">
        <v>-6</v>
      </c>
      <c r="K14" s="7" t="n">
        <v>133</v>
      </c>
    </row>
    <row r="15" customFormat="false" ht="15" hidden="false" customHeight="true" outlineLevel="0" collapsed="false">
      <c r="A15" s="3" t="s">
        <v>232</v>
      </c>
      <c r="B15" s="7" t="n">
        <v>943</v>
      </c>
      <c r="C15" s="7" t="n">
        <v>441</v>
      </c>
      <c r="D15" s="7" t="n">
        <v>-23</v>
      </c>
      <c r="E15" s="7" t="n">
        <v>-58</v>
      </c>
      <c r="F15" s="7" t="n">
        <v>207</v>
      </c>
      <c r="G15" s="7" t="n">
        <v>408</v>
      </c>
      <c r="H15" s="7" t="n">
        <v>152</v>
      </c>
      <c r="I15" s="7" t="n">
        <v>-295</v>
      </c>
      <c r="J15" s="7" t="n">
        <v>-308</v>
      </c>
      <c r="K15" s="7" t="n">
        <v>-97</v>
      </c>
    </row>
    <row r="16" customFormat="false" ht="15" hidden="false" customHeight="true" outlineLevel="0" collapsed="false">
      <c r="A16" s="3" t="s">
        <v>233</v>
      </c>
      <c r="B16" s="7" t="n">
        <v>-318</v>
      </c>
      <c r="C16" s="7" t="n">
        <v>-940</v>
      </c>
      <c r="D16" s="7" t="n">
        <v>491</v>
      </c>
      <c r="E16" s="7" t="n">
        <v>-38</v>
      </c>
      <c r="F16" s="7" t="n">
        <v>532</v>
      </c>
      <c r="G16" s="7" t="n">
        <v>55</v>
      </c>
      <c r="H16" s="7" t="n">
        <v>-286</v>
      </c>
      <c r="I16" s="7" t="n">
        <v>-423</v>
      </c>
      <c r="J16" s="7" t="n">
        <v>-136</v>
      </c>
      <c r="K16" s="7" t="n">
        <v>249</v>
      </c>
    </row>
    <row r="17" customFormat="false" ht="15" hidden="false" customHeight="true" outlineLevel="0" collapsed="false">
      <c r="A17" s="13" t="s">
        <v>234</v>
      </c>
      <c r="B17" s="8" t="n">
        <f aca="false">SUM(B9:B16)</f>
        <v>5238</v>
      </c>
      <c r="C17" s="8" t="n">
        <f aca="false">SUM(C9:C16)</f>
        <v>501</v>
      </c>
      <c r="D17" s="8" t="n">
        <f aca="false">SUM(D9:D16)</f>
        <v>2574</v>
      </c>
      <c r="E17" s="8" t="n">
        <f aca="false">SUM(E9:E16)</f>
        <v>3552</v>
      </c>
      <c r="F17" s="8" t="n">
        <f aca="false">SUM(F9:F16)</f>
        <v>4929</v>
      </c>
      <c r="G17" s="8" t="n">
        <f aca="false">SUM(G9:G16)</f>
        <v>5364</v>
      </c>
      <c r="H17" s="8" t="n">
        <f aca="false">SUM(H9:H16)</f>
        <v>2469</v>
      </c>
      <c r="I17" s="8" t="n">
        <f aca="false">SUM(I9:I16)</f>
        <v>3976</v>
      </c>
      <c r="J17" s="8" t="n">
        <f aca="false">SUM(J9:J16)</f>
        <v>4184</v>
      </c>
      <c r="K17" s="8" t="n">
        <f aca="false">SUM(K9:K16)</f>
        <v>4462</v>
      </c>
    </row>
    <row r="19" customFormat="false" ht="15" hidden="false" customHeight="true" outlineLevel="0" collapsed="false">
      <c r="A19" s="13" t="s">
        <v>235</v>
      </c>
    </row>
    <row r="20" customFormat="false" ht="15" hidden="false" customHeight="true" outlineLevel="0" collapsed="false">
      <c r="A20" s="3" t="s">
        <v>236</v>
      </c>
      <c r="B20" s="7" t="n">
        <v>-1247</v>
      </c>
      <c r="C20" s="7" t="n">
        <v>-1194</v>
      </c>
      <c r="D20" s="7" t="n">
        <v>-826</v>
      </c>
      <c r="E20" s="7" t="n">
        <v>-768</v>
      </c>
      <c r="F20" s="7" t="n">
        <v>-596</v>
      </c>
      <c r="G20" s="7" t="n">
        <v>-905</v>
      </c>
      <c r="H20" s="7" t="n">
        <v>-916</v>
      </c>
      <c r="I20" s="7" t="n">
        <v>-1013</v>
      </c>
      <c r="J20" s="7" t="n">
        <v>-1164</v>
      </c>
      <c r="K20" s="7" t="n">
        <v>-801</v>
      </c>
    </row>
    <row r="21" customFormat="false" ht="15" hidden="false" customHeight="true" outlineLevel="0" collapsed="false">
      <c r="A21" s="3" t="s">
        <v>237</v>
      </c>
      <c r="B21" s="8" t="n">
        <f aca="false">B22-B20</f>
        <v>134</v>
      </c>
      <c r="C21" s="8" t="n">
        <f aca="false">C22-C20</f>
        <v>2371</v>
      </c>
      <c r="D21" s="8" t="n">
        <f aca="false">D22-D20</f>
        <v>1114</v>
      </c>
      <c r="E21" s="8" t="n">
        <f aca="false">E22-E20</f>
        <v>2279</v>
      </c>
      <c r="F21" s="8" t="n">
        <f aca="false">F22-F20</f>
        <v>74</v>
      </c>
      <c r="G21" s="8" t="n">
        <f aca="false">G22-G20</f>
        <v>4943</v>
      </c>
      <c r="H21" s="8" t="n">
        <f aca="false">H22-H20</f>
        <v>-175</v>
      </c>
      <c r="I21" s="8" t="n">
        <f aca="false">I22-I20</f>
        <v>97</v>
      </c>
      <c r="J21" s="8" t="n">
        <f aca="false">J22-J20</f>
        <v>141</v>
      </c>
      <c r="K21" s="8" t="n">
        <f aca="false">K22-K20</f>
        <v>-1032</v>
      </c>
    </row>
    <row r="22" customFormat="false" ht="15" hidden="false" customHeight="true" outlineLevel="0" collapsed="false">
      <c r="A22" s="13" t="s">
        <v>238</v>
      </c>
      <c r="B22" s="7" t="n">
        <v>-1113</v>
      </c>
      <c r="C22" s="7" t="n">
        <v>1177</v>
      </c>
      <c r="D22" s="7" t="n">
        <v>288</v>
      </c>
      <c r="E22" s="7" t="n">
        <v>1511</v>
      </c>
      <c r="F22" s="7" t="n">
        <v>-522</v>
      </c>
      <c r="G22" s="7" t="n">
        <v>4038</v>
      </c>
      <c r="H22" s="7" t="n">
        <v>-1091</v>
      </c>
      <c r="I22" s="7" t="n">
        <v>-916</v>
      </c>
      <c r="J22" s="7" t="n">
        <v>-1023</v>
      </c>
      <c r="K22" s="7" t="n">
        <v>-1833</v>
      </c>
    </row>
    <row r="24" customFormat="false" ht="15" hidden="false" customHeight="true" outlineLevel="0" collapsed="false">
      <c r="A24" s="13" t="s">
        <v>239</v>
      </c>
    </row>
    <row r="25" customFormat="false" ht="15" hidden="false" customHeight="true" outlineLevel="0" collapsed="false">
      <c r="A25" s="3" t="s">
        <v>240</v>
      </c>
      <c r="B25" s="7" t="n">
        <v>-3764</v>
      </c>
      <c r="C25" s="7" t="n">
        <v>-2888</v>
      </c>
      <c r="D25" s="7" t="n">
        <v>-3183</v>
      </c>
      <c r="E25" s="7" t="n">
        <v>-1953</v>
      </c>
      <c r="F25" s="7" t="n">
        <v>-1958</v>
      </c>
      <c r="G25" s="7" t="n">
        <v>-1959</v>
      </c>
      <c r="H25" s="7" t="n">
        <v>-1960</v>
      </c>
      <c r="I25" s="7" t="n">
        <v>-1965</v>
      </c>
      <c r="J25" s="7" t="n">
        <v>-1931</v>
      </c>
      <c r="K25" s="7" t="n">
        <v>-1898</v>
      </c>
    </row>
    <row r="26" customFormat="false" ht="15" hidden="false" customHeight="true" outlineLevel="0" collapsed="false">
      <c r="A26" s="3" t="s">
        <v>241</v>
      </c>
      <c r="B26" s="7" t="n">
        <v>7479</v>
      </c>
      <c r="C26" s="7" t="n">
        <v>-1351</v>
      </c>
      <c r="D26" s="7" t="n">
        <v>-152</v>
      </c>
      <c r="E26" s="7" t="n">
        <v>-1927</v>
      </c>
      <c r="F26" s="7" t="n">
        <v>-1313</v>
      </c>
      <c r="G26" s="7" t="n">
        <v>-7126</v>
      </c>
      <c r="H26" s="7" t="n">
        <v>-1455</v>
      </c>
      <c r="I26" s="7" t="n">
        <v>-191</v>
      </c>
      <c r="J26" s="7" t="n">
        <v>-24</v>
      </c>
      <c r="K26" s="7" t="n">
        <v>942</v>
      </c>
    </row>
    <row r="27" customFormat="false" ht="15" hidden="false" customHeight="true" outlineLevel="0" collapsed="false">
      <c r="A27" s="3" t="s">
        <v>242</v>
      </c>
      <c r="B27" s="7" t="n">
        <v>-8320</v>
      </c>
      <c r="C27" s="7" t="n">
        <v>0</v>
      </c>
      <c r="D27" s="7" t="n">
        <v>0</v>
      </c>
      <c r="E27" s="7" t="n">
        <v>0</v>
      </c>
      <c r="F27" s="7" t="n">
        <v>0</v>
      </c>
      <c r="G27" s="7" t="n">
        <v>0</v>
      </c>
      <c r="H27" s="7" t="n">
        <v>0</v>
      </c>
      <c r="I27" s="7" t="n">
        <v>-455</v>
      </c>
      <c r="J27" s="7" t="n">
        <v>-988</v>
      </c>
      <c r="K27" s="7" t="n">
        <v>-436</v>
      </c>
    </row>
    <row r="28" customFormat="false" ht="15" hidden="false" customHeight="true" outlineLevel="0" collapsed="false">
      <c r="A28" s="3" t="s">
        <v>243</v>
      </c>
      <c r="B28" s="7" t="n">
        <v>-16</v>
      </c>
      <c r="C28" s="7" t="n">
        <v>18</v>
      </c>
      <c r="D28" s="7" t="n">
        <v>-28</v>
      </c>
      <c r="E28" s="7" t="n">
        <v>-33</v>
      </c>
      <c r="F28" s="7" t="n">
        <v>-60</v>
      </c>
      <c r="G28" s="7" t="n">
        <v>-259</v>
      </c>
      <c r="H28" s="7" t="n">
        <v>-299</v>
      </c>
      <c r="I28" s="7" t="n">
        <v>-67</v>
      </c>
      <c r="J28" s="7" t="n">
        <v>-65</v>
      </c>
      <c r="K28" s="7" t="n">
        <v>141</v>
      </c>
    </row>
    <row r="29" customFormat="false" ht="15" hidden="false" customHeight="true" outlineLevel="0" collapsed="false">
      <c r="A29" s="13" t="s">
        <v>244</v>
      </c>
      <c r="B29" s="8" t="n">
        <f aca="false">SUM(B25:B28)</f>
        <v>-4621</v>
      </c>
      <c r="C29" s="8" t="n">
        <f aca="false">SUM(C25:C28)</f>
        <v>-4221</v>
      </c>
      <c r="D29" s="8" t="n">
        <f aca="false">SUM(D25:D28)</f>
        <v>-3363</v>
      </c>
      <c r="E29" s="8" t="n">
        <f aca="false">SUM(E25:E28)</f>
        <v>-3913</v>
      </c>
      <c r="F29" s="8" t="n">
        <f aca="false">SUM(F25:F28)</f>
        <v>-3331</v>
      </c>
      <c r="G29" s="8" t="n">
        <f aca="false">SUM(G25:G28)</f>
        <v>-9344</v>
      </c>
      <c r="H29" s="8" t="n">
        <f aca="false">SUM(H25:H28)</f>
        <v>-3714</v>
      </c>
      <c r="I29" s="8" t="n">
        <f aca="false">SUM(I25:I28)</f>
        <v>-2678</v>
      </c>
      <c r="J29" s="8" t="n">
        <f aca="false">SUM(J25:J28)</f>
        <v>-3008</v>
      </c>
      <c r="K29" s="8" t="n">
        <f aca="false">SUM(K25:K28)</f>
        <v>-1251</v>
      </c>
    </row>
    <row r="31" customFormat="false" ht="15" hidden="false" customHeight="true" outlineLevel="0" collapsed="false">
      <c r="A31" s="3" t="s">
        <v>245</v>
      </c>
      <c r="B31" s="7" t="n">
        <v>-137</v>
      </c>
      <c r="C31" s="7" t="n">
        <v>57</v>
      </c>
      <c r="D31" s="7" t="n">
        <v>-132</v>
      </c>
      <c r="E31" s="7" t="n">
        <v>-6</v>
      </c>
      <c r="F31" s="7" t="n">
        <v>62</v>
      </c>
      <c r="G31" s="7" t="n">
        <v>-30</v>
      </c>
      <c r="H31" s="7" t="n">
        <v>-69</v>
      </c>
      <c r="I31" s="7" t="n">
        <v>-19</v>
      </c>
      <c r="J31" s="7" t="n">
        <v>-71</v>
      </c>
      <c r="K31" s="7" t="n">
        <v>80</v>
      </c>
    </row>
    <row r="32" customFormat="false" ht="15" hidden="false" customHeight="true" outlineLevel="0" collapsed="false">
      <c r="A32" s="15" t="s">
        <v>246</v>
      </c>
      <c r="B32" s="25" t="n">
        <f aca="false">B17+B22+B29+B31</f>
        <v>-633</v>
      </c>
      <c r="C32" s="25" t="n">
        <f aca="false">C17+C22+C29+C31</f>
        <v>-2486</v>
      </c>
      <c r="D32" s="25" t="n">
        <f aca="false">D17+D22+D29+D31</f>
        <v>-633</v>
      </c>
      <c r="E32" s="25" t="n">
        <f aca="false">E17+E22+E29+E31</f>
        <v>1144</v>
      </c>
      <c r="F32" s="25" t="n">
        <f aca="false">F17+F22+F29+F31</f>
        <v>1138</v>
      </c>
      <c r="G32" s="25" t="n">
        <f aca="false">G17+G22+G29+G31</f>
        <v>28</v>
      </c>
      <c r="H32" s="25" t="n">
        <f aca="false">H17+H22+H29+H31</f>
        <v>-2405</v>
      </c>
      <c r="I32" s="25" t="n">
        <f aca="false">I17+I22+I29+I31</f>
        <v>363</v>
      </c>
      <c r="J32" s="25" t="n">
        <f aca="false">J17+J22+J29+J31</f>
        <v>82</v>
      </c>
      <c r="K32" s="25" t="n">
        <f aca="false">K17+K22+K29+K31</f>
        <v>1458</v>
      </c>
      <c r="M32" s="16"/>
      <c r="N32" s="16"/>
      <c r="O32" s="16"/>
      <c r="P32" s="16"/>
      <c r="Q32" s="16"/>
    </row>
    <row r="34" customFormat="false" ht="15" hidden="false" customHeight="true" outlineLevel="0" collapsed="false">
      <c r="A34" s="3" t="s">
        <v>247</v>
      </c>
      <c r="C34" s="11" t="n">
        <f aca="false">'Balance Sheet'!B7</f>
        <v>4204</v>
      </c>
      <c r="D34" s="11" t="n">
        <f aca="false">'Balance Sheet'!C7</f>
        <v>1769</v>
      </c>
      <c r="E34" s="11" t="n">
        <f aca="false">'Balance Sheet'!D7</f>
        <v>1131</v>
      </c>
      <c r="F34" s="11" t="n">
        <f aca="false">'Balance Sheet'!E7</f>
        <v>2280</v>
      </c>
      <c r="G34" s="11" t="n">
        <f aca="false">'Balance Sheet'!F7</f>
        <v>3417</v>
      </c>
      <c r="H34" s="11" t="n">
        <f aca="false">'Balance Sheet'!G7</f>
        <v>3445</v>
      </c>
      <c r="I34" s="11" t="n">
        <f aca="false">'Balance Sheet'!H7</f>
        <v>1040</v>
      </c>
      <c r="J34" s="11" t="n">
        <f aca="false">'Balance Sheet'!I7</f>
        <v>1403</v>
      </c>
      <c r="K34" s="11" t="n">
        <f aca="false">'Balance Sheet'!J7</f>
        <v>1365</v>
      </c>
    </row>
    <row r="35" customFormat="false" ht="15" hidden="false" customHeight="true" outlineLevel="0" collapsed="false">
      <c r="A35" s="3" t="s">
        <v>248</v>
      </c>
      <c r="B35" s="11" t="n">
        <f aca="false">'Balance Sheet'!B7</f>
        <v>4204</v>
      </c>
      <c r="C35" s="11" t="n">
        <f aca="false">'Balance Sheet'!C7</f>
        <v>1769</v>
      </c>
      <c r="D35" s="11" t="n">
        <f aca="false">'Balance Sheet'!D7</f>
        <v>1131</v>
      </c>
      <c r="E35" s="11" t="n">
        <f aca="false">'Balance Sheet'!E7</f>
        <v>2280</v>
      </c>
      <c r="F35" s="11" t="n">
        <f aca="false">'Balance Sheet'!F7</f>
        <v>3417</v>
      </c>
      <c r="G35" s="11" t="n">
        <f aca="false">'Balance Sheet'!G7</f>
        <v>3445</v>
      </c>
      <c r="H35" s="11" t="n">
        <f aca="false">'Balance Sheet'!H7</f>
        <v>1040</v>
      </c>
      <c r="I35" s="11" t="n">
        <f aca="false">'Balance Sheet'!I7</f>
        <v>1403</v>
      </c>
      <c r="J35" s="11" t="n">
        <f aca="false">'Balance Sheet'!J7</f>
        <v>1365</v>
      </c>
      <c r="K35" s="11" t="n">
        <f aca="false">'Balance Sheet'!K7</f>
        <v>3839</v>
      </c>
    </row>
    <row r="36" customFormat="false" ht="15" hidden="false" customHeight="true" outlineLevel="0" collapsed="false">
      <c r="A36" s="3" t="s">
        <v>249</v>
      </c>
      <c r="C36" s="8" t="n">
        <f aca="false">C35-C34</f>
        <v>-2435</v>
      </c>
      <c r="D36" s="8" t="n">
        <f aca="false">D35-D34</f>
        <v>-638</v>
      </c>
      <c r="E36" s="8" t="n">
        <f aca="false">E35-E34</f>
        <v>1149</v>
      </c>
      <c r="F36" s="8" t="n">
        <f aca="false">F35-F34</f>
        <v>1137</v>
      </c>
      <c r="G36" s="8" t="n">
        <f aca="false">G35-G34</f>
        <v>28</v>
      </c>
      <c r="H36" s="8" t="n">
        <f aca="false">H35-H34</f>
        <v>-2405</v>
      </c>
      <c r="I36" s="8" t="n">
        <f aca="false">I35-I34</f>
        <v>363</v>
      </c>
      <c r="J36" s="8" t="n">
        <f aca="false">J35-J34</f>
        <v>-38</v>
      </c>
      <c r="K36" s="8" t="n">
        <f aca="false">K35-K34</f>
        <v>2474</v>
      </c>
    </row>
    <row r="37" customFormat="false" ht="15" hidden="false" customHeight="true" outlineLevel="0" collapsed="false">
      <c r="A37" s="26" t="s">
        <v>250</v>
      </c>
      <c r="C37" s="8" t="n">
        <f aca="false">C32-C36</f>
        <v>-51</v>
      </c>
      <c r="D37" s="8" t="n">
        <f aca="false">D32-D36</f>
        <v>5</v>
      </c>
      <c r="E37" s="8" t="n">
        <f aca="false">E32-E36</f>
        <v>-5</v>
      </c>
      <c r="F37" s="8" t="n">
        <f aca="false">F32-F36</f>
        <v>1</v>
      </c>
      <c r="G37" s="8" t="n">
        <f aca="false">G32-G36</f>
        <v>0</v>
      </c>
      <c r="H37" s="8" t="n">
        <f aca="false">H32-H36</f>
        <v>0</v>
      </c>
      <c r="I37" s="8" t="n">
        <f aca="false">I32-I36</f>
        <v>0</v>
      </c>
      <c r="J37" s="8" t="n">
        <f aca="false">J32-J36</f>
        <v>120</v>
      </c>
      <c r="K37" s="8" t="n">
        <f aca="false">K32-K36</f>
        <v>-1016</v>
      </c>
    </row>
    <row r="38" customFormat="false" ht="30" hidden="false" customHeight="true" outlineLevel="0" collapsed="false">
      <c r="A38" s="20" t="s">
        <v>251</v>
      </c>
      <c r="B38" s="20"/>
      <c r="C38" s="20"/>
      <c r="D38" s="20"/>
      <c r="E38" s="20"/>
      <c r="F38" s="20"/>
      <c r="G38" s="20"/>
      <c r="H38" s="20"/>
      <c r="I38" s="20"/>
      <c r="J38" s="20"/>
      <c r="K38" s="20"/>
      <c r="L38" s="20"/>
      <c r="M38" s="20"/>
      <c r="N38" s="20"/>
      <c r="O38" s="20"/>
      <c r="P38" s="20"/>
      <c r="Q38" s="20"/>
    </row>
    <row r="40" customFormat="false" ht="15" hidden="false" customHeight="true" outlineLevel="0" collapsed="false">
      <c r="A40" s="15" t="s">
        <v>252</v>
      </c>
      <c r="B40" s="16"/>
      <c r="C40" s="16"/>
      <c r="D40" s="16"/>
      <c r="E40" s="16"/>
      <c r="F40" s="16"/>
      <c r="G40" s="16"/>
      <c r="H40" s="16"/>
      <c r="I40" s="16"/>
      <c r="J40" s="16"/>
      <c r="K40" s="16"/>
      <c r="M40" s="16"/>
      <c r="N40" s="16"/>
      <c r="O40" s="16"/>
      <c r="P40" s="16"/>
      <c r="Q40" s="16"/>
    </row>
    <row r="41" customFormat="false" ht="15" hidden="false" customHeight="true" outlineLevel="0" collapsed="false">
      <c r="A41" s="13" t="s">
        <v>225</v>
      </c>
    </row>
    <row r="42" customFormat="false" ht="15" hidden="false" customHeight="true" outlineLevel="0" collapsed="false">
      <c r="A42" s="3" t="s">
        <v>43</v>
      </c>
      <c r="M42" s="11" t="n">
        <f aca="false">'Income Statement'!M33</f>
        <v>3400.02774310403</v>
      </c>
      <c r="N42" s="11" t="n">
        <f aca="false">'Income Statement'!N33</f>
        <v>3360.79501302821</v>
      </c>
      <c r="O42" s="11" t="n">
        <f aca="false">'Income Statement'!O33</f>
        <v>3323.16333865385</v>
      </c>
      <c r="P42" s="11" t="n">
        <f aca="false">'Income Statement'!P33</f>
        <v>3286.99241146431</v>
      </c>
      <c r="Q42" s="11" t="n">
        <f aca="false">'Income Statement'!Q33</f>
        <v>3252.15532396319</v>
      </c>
    </row>
    <row r="43" customFormat="false" ht="15" hidden="false" customHeight="true" outlineLevel="0" collapsed="false">
      <c r="A43" s="3" t="s">
        <v>253</v>
      </c>
      <c r="M43" s="11" t="n">
        <f aca="false">'Income Statement'!M11</f>
        <v>753.361080241534</v>
      </c>
      <c r="N43" s="11" t="n">
        <f aca="false">'Income Statement'!N11</f>
        <v>767.276303113397</v>
      </c>
      <c r="O43" s="11" t="n">
        <f aca="false">'Income Statement'!O11</f>
        <v>779.315985619589</v>
      </c>
      <c r="P43" s="11" t="n">
        <f aca="false">'Income Statement'!P11</f>
        <v>789.66375177823</v>
      </c>
      <c r="Q43" s="11" t="n">
        <f aca="false">'Income Statement'!Q11</f>
        <v>798.485555407657</v>
      </c>
    </row>
    <row r="44" customFormat="false" ht="15" hidden="false" customHeight="true" outlineLevel="0" collapsed="false">
      <c r="A44" s="3" t="s">
        <v>254</v>
      </c>
      <c r="M44" s="11" t="n">
        <f aca="false">'Income Statement'!M13</f>
        <v>207.860388437976</v>
      </c>
      <c r="N44" s="11" t="n">
        <f aca="false">'Income Statement'!N13</f>
        <v>206.709120323143</v>
      </c>
      <c r="O44" s="11" t="n">
        <f aca="false">'Income Statement'!O13</f>
        <v>205.564228691497</v>
      </c>
      <c r="P44" s="11" t="n">
        <f aca="false">'Income Statement'!P13</f>
        <v>204.425678225863</v>
      </c>
      <c r="Q44" s="11" t="n">
        <f aca="false">'Income Statement'!Q13</f>
        <v>203.293433804676</v>
      </c>
    </row>
    <row r="45" customFormat="false" ht="15" hidden="false" customHeight="true" outlineLevel="0" collapsed="false">
      <c r="A45" s="3" t="s">
        <v>255</v>
      </c>
      <c r="M45" s="11" t="n">
        <f aca="false">-('Balance Sheet'!M8-'Balance Sheet'!K8)</f>
        <v>592.303112581988</v>
      </c>
      <c r="N45" s="11" t="n">
        <f aca="false">-('Balance Sheet'!N8-'Balance Sheet'!M8)</f>
        <v>10.3571673164606</v>
      </c>
      <c r="O45" s="11" t="n">
        <f aca="false">-('Balance Sheet'!O8-'Balance Sheet'!N8)</f>
        <v>10.2926122729784</v>
      </c>
      <c r="P45" s="11" t="n">
        <f aca="false">-('Balance Sheet'!P8-'Balance Sheet'!O8)</f>
        <v>10.2284595937249</v>
      </c>
      <c r="Q45" s="11" t="n">
        <f aca="false">-('Balance Sheet'!Q8-'Balance Sheet'!P8)</f>
        <v>10.1647067708102</v>
      </c>
    </row>
    <row r="46" customFormat="false" ht="15" hidden="false" customHeight="true" outlineLevel="0" collapsed="false">
      <c r="A46" s="3" t="s">
        <v>256</v>
      </c>
      <c r="M46" s="11" t="n">
        <f aca="false">-('Balance Sheet'!M10-'Balance Sheet'!K10)</f>
        <v>352.732057041344</v>
      </c>
      <c r="N46" s="11" t="n">
        <f aca="false">-('Balance Sheet'!N10-'Balance Sheet'!M10)</f>
        <v>14.2966867264254</v>
      </c>
      <c r="O46" s="11" t="n">
        <f aca="false">-('Balance Sheet'!O10-'Balance Sheet'!N10)</f>
        <v>14.5171492273626</v>
      </c>
      <c r="P46" s="11" t="n">
        <f aca="false">-('Balance Sheet'!P10-'Balance Sheet'!O10)</f>
        <v>14.7064951466868</v>
      </c>
      <c r="Q46" s="11" t="n">
        <f aca="false">-('Balance Sheet'!Q10-'Balance Sheet'!P10)</f>
        <v>14.8677771025054</v>
      </c>
    </row>
    <row r="47" customFormat="false" ht="15" hidden="false" customHeight="true" outlineLevel="0" collapsed="false">
      <c r="A47" s="3" t="s">
        <v>257</v>
      </c>
      <c r="M47" s="11" t="n">
        <f aca="false">('Balance Sheet'!M29-'Balance Sheet'!K29)</f>
        <v>-163.949474737479</v>
      </c>
      <c r="N47" s="11" t="n">
        <f aca="false">('Balance Sheet'!N29-'Balance Sheet'!M29)</f>
        <v>-21.0520793822752</v>
      </c>
      <c r="O47" s="11" t="n">
        <f aca="false">('Balance Sheet'!O29-'Balance Sheet'!N29)</f>
        <v>-21.3767136251136</v>
      </c>
      <c r="P47" s="11" t="n">
        <f aca="false">('Balance Sheet'!P29-'Balance Sheet'!O29)</f>
        <v>-21.6555282484323</v>
      </c>
      <c r="Q47" s="11" t="n">
        <f aca="false">('Balance Sheet'!Q29-'Balance Sheet'!P29)</f>
        <v>-21.8930182768413</v>
      </c>
    </row>
    <row r="48" customFormat="false" ht="15" hidden="false" customHeight="true" outlineLevel="0" collapsed="false">
      <c r="A48" s="3" t="s">
        <v>258</v>
      </c>
      <c r="M48" s="11" t="n">
        <f aca="false">-('Balance Sheet'!M12-'Balance Sheet'!K12)</f>
        <v>-446.734523801905</v>
      </c>
      <c r="N48" s="11" t="n">
        <f aca="false">-('Balance Sheet'!N12-'Balance Sheet'!M12)</f>
        <v>8.18835756114891</v>
      </c>
      <c r="O48" s="11" t="n">
        <f aca="false">-('Balance Sheet'!O12-'Balance Sheet'!N12)</f>
        <v>8.13732046169343</v>
      </c>
      <c r="P48" s="11" t="n">
        <f aca="false">-('Balance Sheet'!P12-'Balance Sheet'!O12)</f>
        <v>8.08660147066212</v>
      </c>
      <c r="Q48" s="11" t="n">
        <f aca="false">-('Balance Sheet'!Q12-'Balance Sheet'!P12)</f>
        <v>8.03619860532194</v>
      </c>
    </row>
    <row r="49" customFormat="false" ht="15" hidden="false" customHeight="true" outlineLevel="0" collapsed="false">
      <c r="A49" s="3" t="s">
        <v>259</v>
      </c>
      <c r="M49" s="11" t="n">
        <f aca="false">('Balance Sheet'!M32-'Balance Sheet'!K32)</f>
        <v>277.229682698795</v>
      </c>
      <c r="N49" s="11" t="n">
        <f aca="false">('Balance Sheet'!N32-'Balance Sheet'!M32)</f>
        <v>-16.9112513867458</v>
      </c>
      <c r="O49" s="11" t="n">
        <f aca="false">('Balance Sheet'!O32-'Balance Sheet'!N32)</f>
        <v>-16.8058454842189</v>
      </c>
      <c r="P49" s="11" t="n">
        <f aca="false">('Balance Sheet'!P32-'Balance Sheet'!O32)</f>
        <v>-16.70109656467</v>
      </c>
      <c r="Q49" s="11" t="n">
        <f aca="false">('Balance Sheet'!Q32-'Balance Sheet'!P32)</f>
        <v>-16.5970005331988</v>
      </c>
    </row>
    <row r="50" customFormat="false" ht="15" hidden="false" customHeight="true" outlineLevel="0" collapsed="false">
      <c r="A50" s="13" t="s">
        <v>234</v>
      </c>
      <c r="M50" s="8" t="n">
        <f aca="false">SUM(M42:M49)</f>
        <v>4972.83006556629</v>
      </c>
      <c r="N50" s="8" t="n">
        <f aca="false">SUM(N42:N49)</f>
        <v>4329.65931729976</v>
      </c>
      <c r="O50" s="8" t="n">
        <f aca="false">SUM(O42:O49)</f>
        <v>4302.80807581764</v>
      </c>
      <c r="P50" s="8" t="n">
        <f aca="false">SUM(P42:P49)</f>
        <v>4275.74677286637</v>
      </c>
      <c r="Q50" s="8" t="n">
        <f aca="false">SUM(Q42:Q49)</f>
        <v>4248.51297684412</v>
      </c>
    </row>
    <row r="52" customFormat="false" ht="15" hidden="false" customHeight="true" outlineLevel="0" collapsed="false">
      <c r="A52" s="13" t="s">
        <v>235</v>
      </c>
    </row>
    <row r="53" customFormat="false" ht="15" hidden="false" customHeight="true" outlineLevel="0" collapsed="false">
      <c r="A53" s="3" t="s">
        <v>260</v>
      </c>
      <c r="M53" s="11" t="n">
        <f aca="false">-'Balance Sheet'!M16</f>
        <v>-898.135637529114</v>
      </c>
      <c r="N53" s="11" t="n">
        <f aca="false">-'Balance Sheet'!N16</f>
        <v>-892.537660460493</v>
      </c>
      <c r="O53" s="11" t="n">
        <f aca="false">-'Balance Sheet'!O16</f>
        <v>-886.974574944941</v>
      </c>
      <c r="P53" s="11" t="n">
        <f aca="false">-'Balance Sheet'!P16</f>
        <v>-881.446163507387</v>
      </c>
      <c r="Q53" s="11" t="n">
        <f aca="false">-'Balance Sheet'!Q16</f>
        <v>-875.952210028252</v>
      </c>
    </row>
    <row r="54" customFormat="false" ht="15" hidden="false" customHeight="true" outlineLevel="0" collapsed="false">
      <c r="A54" s="13" t="s">
        <v>238</v>
      </c>
      <c r="M54" s="8" t="n">
        <f aca="false">M53</f>
        <v>-898.135637529114</v>
      </c>
      <c r="N54" s="8" t="n">
        <f aca="false">N53</f>
        <v>-892.537660460493</v>
      </c>
      <c r="O54" s="8" t="n">
        <f aca="false">O53</f>
        <v>-886.974574944941</v>
      </c>
      <c r="P54" s="8" t="n">
        <f aca="false">P53</f>
        <v>-881.446163507387</v>
      </c>
      <c r="Q54" s="8" t="n">
        <f aca="false">Q53</f>
        <v>-875.952210028252</v>
      </c>
    </row>
    <row r="56" customFormat="false" ht="15" hidden="false" customHeight="true" outlineLevel="0" collapsed="false">
      <c r="A56" s="13" t="s">
        <v>239</v>
      </c>
    </row>
    <row r="57" customFormat="false" ht="15" hidden="false" customHeight="true" outlineLevel="0" collapsed="false">
      <c r="A57" s="3" t="s">
        <v>261</v>
      </c>
      <c r="M57" s="11" t="n">
        <f aca="false">('Balance Sheet'!M31-'Balance Sheet'!K31)</f>
        <v>0</v>
      </c>
      <c r="N57" s="11" t="n">
        <f aca="false">('Balance Sheet'!N31-'Balance Sheet'!M31)</f>
        <v>0</v>
      </c>
      <c r="O57" s="11" t="n">
        <f aca="false">('Balance Sheet'!O31-'Balance Sheet'!N31)</f>
        <v>0</v>
      </c>
      <c r="P57" s="11" t="n">
        <f aca="false">('Balance Sheet'!P31-'Balance Sheet'!O31)</f>
        <v>0</v>
      </c>
      <c r="Q57" s="11" t="n">
        <f aca="false">('Balance Sheet'!Q31-'Balance Sheet'!P31)</f>
        <v>0</v>
      </c>
    </row>
    <row r="58" customFormat="false" ht="15" hidden="false" customHeight="true" outlineLevel="0" collapsed="false">
      <c r="A58" s="3" t="s">
        <v>262</v>
      </c>
      <c r="M58" s="11" t="n">
        <f aca="false">('Balance Sheet'!M36-'Balance Sheet'!K36)</f>
        <v>0</v>
      </c>
      <c r="N58" s="11" t="n">
        <f aca="false">('Balance Sheet'!N36-'Balance Sheet'!M36)</f>
        <v>0</v>
      </c>
      <c r="O58" s="11" t="n">
        <f aca="false">('Balance Sheet'!O36-'Balance Sheet'!N36)</f>
        <v>0</v>
      </c>
      <c r="P58" s="11" t="n">
        <f aca="false">('Balance Sheet'!P36-'Balance Sheet'!O36)</f>
        <v>0</v>
      </c>
      <c r="Q58" s="11" t="n">
        <f aca="false">('Balance Sheet'!Q36-'Balance Sheet'!P36)</f>
        <v>0</v>
      </c>
    </row>
    <row r="59" customFormat="false" ht="15" hidden="false" customHeight="true" outlineLevel="0" collapsed="false">
      <c r="A59" s="3" t="s">
        <v>263</v>
      </c>
      <c r="M59" s="11" t="n">
        <f aca="false">-'Balance Sheet'!M56</f>
        <v>-2517.64969241248</v>
      </c>
      <c r="N59" s="11" t="n">
        <f aca="false">-'Balance Sheet'!N56</f>
        <v>-2488.59867334117</v>
      </c>
      <c r="O59" s="11" t="n">
        <f aca="false">-'Balance Sheet'!O56</f>
        <v>-2460.73320265325</v>
      </c>
      <c r="P59" s="11" t="n">
        <f aca="false">-'Balance Sheet'!P56</f>
        <v>-2433.94938481597</v>
      </c>
      <c r="Q59" s="11" t="n">
        <f aca="false">-'Balance Sheet'!Q56</f>
        <v>-2408.15324747279</v>
      </c>
    </row>
    <row r="60" customFormat="false" ht="15" hidden="false" customHeight="true" outlineLevel="0" collapsed="false">
      <c r="A60" s="13" t="s">
        <v>244</v>
      </c>
      <c r="M60" s="8" t="n">
        <f aca="false">SUM(M57:M59)</f>
        <v>-2517.64969241248</v>
      </c>
      <c r="N60" s="8" t="n">
        <f aca="false">SUM(N57:N59)</f>
        <v>-2488.59867334117</v>
      </c>
      <c r="O60" s="8" t="n">
        <f aca="false">SUM(O57:O59)</f>
        <v>-2460.73320265325</v>
      </c>
      <c r="P60" s="8" t="n">
        <f aca="false">SUM(P57:P59)</f>
        <v>-2433.94938481597</v>
      </c>
      <c r="Q60" s="8" t="n">
        <f aca="false">SUM(Q57:Q59)</f>
        <v>-2408.15324747279</v>
      </c>
    </row>
    <row r="62" customFormat="false" ht="15" hidden="false" customHeight="true" outlineLevel="0" collapsed="false">
      <c r="A62" s="15" t="s">
        <v>264</v>
      </c>
      <c r="B62" s="16"/>
      <c r="C62" s="16"/>
      <c r="D62" s="16"/>
      <c r="E62" s="16"/>
      <c r="F62" s="16"/>
      <c r="G62" s="16"/>
      <c r="H62" s="16"/>
      <c r="I62" s="16"/>
      <c r="J62" s="16"/>
      <c r="K62" s="16"/>
      <c r="M62" s="25" t="n">
        <f aca="false">M50+M54+M60</f>
        <v>1557.04473562469</v>
      </c>
      <c r="N62" s="25" t="n">
        <f aca="false">N50+N54+N60</f>
        <v>948.522983498098</v>
      </c>
      <c r="O62" s="25" t="n">
        <f aca="false">O50+O54+O60</f>
        <v>955.100298219441</v>
      </c>
      <c r="P62" s="25" t="n">
        <f aca="false">P50+P54+P60</f>
        <v>960.351224543021</v>
      </c>
      <c r="Q62" s="25" t="n">
        <f aca="false">Q50+Q54+Q60</f>
        <v>964.407519343085</v>
      </c>
    </row>
    <row r="63" customFormat="false" ht="15" hidden="false" customHeight="true" outlineLevel="0" collapsed="false">
      <c r="A63" s="3" t="s">
        <v>265</v>
      </c>
      <c r="M63" s="11" t="n">
        <f aca="false">'Balance Sheet'!K7</f>
        <v>3839</v>
      </c>
      <c r="N63" s="8" t="n">
        <f aca="false">M64</f>
        <v>5396.04473562469</v>
      </c>
      <c r="O63" s="8" t="n">
        <f aca="false">N64</f>
        <v>6344.56771912279</v>
      </c>
      <c r="P63" s="8" t="n">
        <f aca="false">O64</f>
        <v>7299.66801734223</v>
      </c>
      <c r="Q63" s="8" t="n">
        <f aca="false">P64</f>
        <v>8260.01924188525</v>
      </c>
    </row>
    <row r="64" customFormat="false" ht="15" hidden="false" customHeight="true" outlineLevel="0" collapsed="false">
      <c r="A64" s="13" t="s">
        <v>266</v>
      </c>
      <c r="M64" s="8" t="n">
        <f aca="false">M63+M62</f>
        <v>5396.04473562469</v>
      </c>
      <c r="N64" s="8" t="n">
        <f aca="false">N63+N62</f>
        <v>6344.56771912279</v>
      </c>
      <c r="O64" s="8" t="n">
        <f aca="false">O63+O62</f>
        <v>7299.66801734223</v>
      </c>
      <c r="P64" s="8" t="n">
        <f aca="false">P63+P62</f>
        <v>8260.01924188525</v>
      </c>
      <c r="Q64" s="8" t="n">
        <f aca="false">Q63+Q62</f>
        <v>9224.42676122834</v>
      </c>
    </row>
    <row r="66" customFormat="false" ht="15" hidden="false" customHeight="true" outlineLevel="0" collapsed="false">
      <c r="A66" s="15" t="s">
        <v>267</v>
      </c>
      <c r="B66" s="16"/>
      <c r="C66" s="16"/>
      <c r="D66" s="16"/>
      <c r="E66" s="16"/>
      <c r="F66" s="16"/>
      <c r="G66" s="16"/>
      <c r="H66" s="16"/>
      <c r="I66" s="16"/>
      <c r="J66" s="16"/>
      <c r="K66" s="16"/>
      <c r="M66" s="16"/>
      <c r="N66" s="16"/>
      <c r="O66" s="16"/>
      <c r="P66" s="16"/>
      <c r="Q66" s="16"/>
    </row>
    <row r="67" customFormat="false" ht="15" hidden="false" customHeight="true" outlineLevel="0" collapsed="false">
      <c r="A67" s="3" t="s">
        <v>268</v>
      </c>
      <c r="M67" s="11" t="n">
        <f aca="false">'Balance Sheet'!M7</f>
        <v>5396.04473562469</v>
      </c>
      <c r="N67" s="11" t="n">
        <f aca="false">'Balance Sheet'!N7</f>
        <v>6344.56771912279</v>
      </c>
      <c r="O67" s="11" t="n">
        <f aca="false">'Balance Sheet'!O7</f>
        <v>7299.66801734222</v>
      </c>
      <c r="P67" s="11" t="n">
        <f aca="false">'Balance Sheet'!P7</f>
        <v>8260.01924188525</v>
      </c>
      <c r="Q67" s="11" t="n">
        <f aca="false">'Balance Sheet'!Q7</f>
        <v>9224.42676122833</v>
      </c>
    </row>
    <row r="68" customFormat="false" ht="15" hidden="false" customHeight="true" outlineLevel="0" collapsed="false">
      <c r="A68" s="3" t="s">
        <v>269</v>
      </c>
      <c r="M68" s="8" t="n">
        <f aca="false">M64</f>
        <v>5396.04473562469</v>
      </c>
      <c r="N68" s="8" t="n">
        <f aca="false">N64</f>
        <v>6344.56771912279</v>
      </c>
      <c r="O68" s="8" t="n">
        <f aca="false">O64</f>
        <v>7299.66801734223</v>
      </c>
      <c r="P68" s="8" t="n">
        <f aca="false">P64</f>
        <v>8260.01924188525</v>
      </c>
      <c r="Q68" s="8" t="n">
        <f aca="false">Q64</f>
        <v>9224.42676122834</v>
      </c>
    </row>
    <row r="69" customFormat="false" ht="15" hidden="false" customHeight="true" outlineLevel="0" collapsed="false">
      <c r="A69" s="13" t="s">
        <v>270</v>
      </c>
      <c r="M69" s="8" t="n">
        <f aca="false">M67-M68</f>
        <v>0</v>
      </c>
      <c r="N69" s="8" t="n">
        <f aca="false">N67-N68</f>
        <v>0</v>
      </c>
      <c r="O69" s="8" t="n">
        <f aca="false">O67-O68</f>
        <v>0</v>
      </c>
      <c r="P69" s="8" t="n">
        <f aca="false">P67-P68</f>
        <v>0</v>
      </c>
      <c r="Q69" s="8" t="n">
        <f aca="false">Q67-Q68</f>
        <v>0</v>
      </c>
    </row>
    <row r="71" customFormat="false" ht="15" hidden="false" customHeight="true" outlineLevel="0" collapsed="false">
      <c r="A71" s="15" t="s">
        <v>271</v>
      </c>
      <c r="B71" s="16"/>
      <c r="C71" s="16"/>
      <c r="D71" s="16"/>
      <c r="E71" s="16"/>
      <c r="F71" s="16"/>
      <c r="G71" s="16"/>
      <c r="H71" s="16"/>
      <c r="I71" s="16"/>
      <c r="J71" s="16"/>
      <c r="K71" s="16"/>
      <c r="L71" s="16"/>
      <c r="M71" s="16"/>
      <c r="N71" s="16"/>
      <c r="O71" s="16"/>
      <c r="P71" s="16"/>
      <c r="Q71" s="16"/>
    </row>
    <row r="72" customFormat="false" ht="15" hidden="false" customHeight="true" outlineLevel="0" collapsed="false">
      <c r="A72" s="51" t="s">
        <v>272</v>
      </c>
    </row>
    <row r="74" customFormat="false" ht="15" hidden="false" customHeight="true" outlineLevel="0" collapsed="false">
      <c r="A74" s="52" t="s">
        <v>273</v>
      </c>
      <c r="M74" s="11" t="n">
        <f aca="false">'Income Statement'!M20*(1-'Income Statement'!$C$48)</f>
        <v>4013.60379101395</v>
      </c>
      <c r="N74" s="11" t="n">
        <f aca="false">'Income Statement'!N20*(1-'Income Statement'!$C$48)</f>
        <v>3974.37106093812</v>
      </c>
      <c r="O74" s="11" t="n">
        <f aca="false">'Income Statement'!O20*(1-'Income Statement'!$C$48)</f>
        <v>3936.73938656377</v>
      </c>
      <c r="P74" s="11" t="n">
        <f aca="false">'Income Statement'!P20*(1-'Income Statement'!$C$48)</f>
        <v>3900.56845937423</v>
      </c>
      <c r="Q74" s="11" t="n">
        <f aca="false">'Income Statement'!Q20*(1-'Income Statement'!$C$48)</f>
        <v>3865.73137187311</v>
      </c>
    </row>
    <row r="75" customFormat="false" ht="15" hidden="false" customHeight="true" outlineLevel="0" collapsed="false">
      <c r="A75" s="52" t="s">
        <v>274</v>
      </c>
      <c r="K75" s="11" t="n">
        <f aca="false">'Balance Sheet'!K31+'Balance Sheet'!K36+'Balance Sheet'!K48</f>
        <v>63436</v>
      </c>
      <c r="M75" s="11" t="n">
        <f aca="false">'Balance Sheet'!M31+'Balance Sheet'!M36+'Balance Sheet'!M48</f>
        <v>64318.3780506916</v>
      </c>
      <c r="N75" s="11" t="n">
        <f aca="false">'Balance Sheet'!N31+'Balance Sheet'!N36+'Balance Sheet'!N48</f>
        <v>65190.5743903786</v>
      </c>
      <c r="O75" s="11" t="n">
        <f aca="false">'Balance Sheet'!O31+'Balance Sheet'!O36+'Balance Sheet'!O48</f>
        <v>66053.0045263792</v>
      </c>
      <c r="P75" s="11" t="n">
        <f aca="false">'Balance Sheet'!P31+'Balance Sheet'!P36+'Balance Sheet'!P48</f>
        <v>66906.0475530275</v>
      </c>
      <c r="Q75" s="11" t="n">
        <f aca="false">'Balance Sheet'!Q31+'Balance Sheet'!Q36+'Balance Sheet'!Q48</f>
        <v>67750.0496295179</v>
      </c>
    </row>
    <row r="77" customFormat="false" ht="15" hidden="false" customHeight="true" outlineLevel="0" collapsed="false">
      <c r="A77" s="13" t="s">
        <v>275</v>
      </c>
    </row>
    <row r="78" customFormat="false" ht="15" hidden="false" customHeight="true" outlineLevel="0" collapsed="false">
      <c r="A78" s="51" t="s">
        <v>276</v>
      </c>
    </row>
    <row r="79" customFormat="false" ht="15" hidden="false" customHeight="true" outlineLevel="0" collapsed="false">
      <c r="A79" s="53" t="s">
        <v>275</v>
      </c>
      <c r="M79" s="54" t="n">
        <f aca="false">M50+'Income Statement'!M24*(1-'Income Statement'!$C$48)+M53</f>
        <v>4848.69247594709</v>
      </c>
      <c r="N79" s="54" t="n">
        <f aca="false">N50+'Income Statement'!N24*(1-'Income Statement'!$C$48)+N53</f>
        <v>4211.11970474919</v>
      </c>
      <c r="O79" s="54" t="n">
        <f aca="false">O50+'Income Statement'!O24*(1-'Income Statement'!$C$48)+O53</f>
        <v>4189.83154878262</v>
      </c>
      <c r="P79" s="54" t="n">
        <f aca="false">P50+'Income Statement'!P24*(1-'Income Statement'!$C$48)+P53</f>
        <v>4168.29865726891</v>
      </c>
      <c r="Q79" s="54" t="n">
        <f aca="false">Q50+'Income Statement'!Q24*(1-'Income Statement'!$C$48)+Q53</f>
        <v>4146.55881472579</v>
      </c>
    </row>
    <row r="81" customFormat="false" ht="15" hidden="false" customHeight="true" outlineLevel="0" collapsed="false">
      <c r="A81" s="13" t="s">
        <v>277</v>
      </c>
    </row>
    <row r="82" customFormat="false" ht="15" hidden="false" customHeight="true" outlineLevel="0" collapsed="false">
      <c r="A82" s="51" t="s">
        <v>278</v>
      </c>
    </row>
    <row r="83" customFormat="false" ht="15" hidden="false" customHeight="true" outlineLevel="0" collapsed="false">
      <c r="A83" s="53" t="s">
        <v>277</v>
      </c>
      <c r="M83" s="54" t="n">
        <f aca="false">M79-'Income Statement'!M24*(1-'Income Statement'!$C$48)+M57+M58</f>
        <v>4074.69442803717</v>
      </c>
      <c r="N83" s="54" t="n">
        <f aca="false">N79-'Income Statement'!N24*(1-'Income Statement'!$C$48)+N57+N58</f>
        <v>3437.12165683927</v>
      </c>
      <c r="O83" s="54" t="n">
        <f aca="false">O79-'Income Statement'!O24*(1-'Income Statement'!$C$48)+O57+O58</f>
        <v>3415.8335008727</v>
      </c>
      <c r="P83" s="54" t="n">
        <f aca="false">P79-'Income Statement'!P24*(1-'Income Statement'!$C$48)+P57+P58</f>
        <v>3394.30060935899</v>
      </c>
      <c r="Q83" s="54" t="n">
        <f aca="false">Q79-'Income Statement'!Q24*(1-'Income Statement'!$C$48)+Q57+Q58</f>
        <v>3372.56076681587</v>
      </c>
    </row>
    <row r="85" customFormat="false" ht="15" hidden="false" customHeight="true" outlineLevel="0" collapsed="false">
      <c r="A85" s="13" t="s">
        <v>279</v>
      </c>
    </row>
    <row r="86" customFormat="false" ht="15" hidden="false" customHeight="true" outlineLevel="0" collapsed="false">
      <c r="A86" s="51" t="s">
        <v>280</v>
      </c>
    </row>
    <row r="87" customFormat="false" ht="15" hidden="false" customHeight="true" outlineLevel="0" collapsed="false">
      <c r="A87" s="53" t="s">
        <v>279</v>
      </c>
      <c r="M87" s="55" t="n">
        <f aca="false">M74-'Cost of Capital (WACC)'!$B$89*K75</f>
        <v>-214.106900534136</v>
      </c>
      <c r="N87" s="55" t="n">
        <f aca="false">N74-'Cost of Capital (WACC)'!$B$89*M75</f>
        <v>-312.145972732669</v>
      </c>
      <c r="O87" s="55" t="n">
        <f aca="false">O74-'Cost of Capital (WACC)'!$B$89*N75</f>
        <v>-407.905426135084</v>
      </c>
      <c r="P87" s="55" t="n">
        <f aca="false">P74-'Cost of Capital (WACC)'!$B$89*O75</f>
        <v>-501.553260864238</v>
      </c>
      <c r="Q87" s="55" t="n">
        <f aca="false">Q74-'Cost of Capital (WACC)'!$B$89*P75</f>
        <v>-593.241649268813</v>
      </c>
    </row>
    <row r="89" customFormat="false" ht="15" hidden="false" customHeight="true" outlineLevel="0" collapsed="false">
      <c r="A89" s="13" t="s">
        <v>281</v>
      </c>
    </row>
    <row r="90" customFormat="false" ht="15" hidden="false" customHeight="true" outlineLevel="0" collapsed="false">
      <c r="A90" s="51" t="s">
        <v>282</v>
      </c>
    </row>
    <row r="91" customFormat="false" ht="15" hidden="false" customHeight="true" outlineLevel="0" collapsed="false">
      <c r="A91" s="53" t="s">
        <v>281</v>
      </c>
      <c r="M91" s="56" t="n">
        <f aca="false">'Income Statement'!M33-'Cost of Capital (WACC)'!$B$39*'Balance Sheet'!K48</f>
        <v>-54.8610532006992</v>
      </c>
      <c r="N91" s="56" t="n">
        <f aca="false">'Income Statement'!N33-'Cost of Capital (WACC)'!$B$39*'Balance Sheet'!M48</f>
        <v>-167.262899094485</v>
      </c>
      <c r="O91" s="56" t="n">
        <f aca="false">'Income Statement'!O33-'Cost of Capital (WACC)'!$B$39*'Balance Sheet'!N48</f>
        <v>-277.219394949321</v>
      </c>
      <c r="P91" s="56" t="n">
        <f aca="false">'Income Statement'!P33-'Cost of Capital (WACC)'!$B$39*'Balance Sheet'!O48</f>
        <v>-384.905304244852</v>
      </c>
      <c r="Q91" s="56" t="n">
        <f aca="false">'Income Statement'!Q33-'Cost of Capital (WACC)'!$B$39*'Balance Sheet'!P48</f>
        <v>-490.478969979774</v>
      </c>
    </row>
    <row r="93" customFormat="false" ht="15" hidden="false" customHeight="true" outlineLevel="0" collapsed="false">
      <c r="A93" s="15" t="s">
        <v>283</v>
      </c>
      <c r="B93" s="16"/>
      <c r="C93" s="16"/>
      <c r="D93" s="16"/>
      <c r="E93" s="16"/>
      <c r="F93" s="16"/>
      <c r="G93" s="16"/>
      <c r="H93" s="16"/>
      <c r="I93" s="16"/>
      <c r="J93" s="16"/>
      <c r="K93" s="16"/>
      <c r="L93" s="16"/>
      <c r="M93" s="16"/>
      <c r="N93" s="16"/>
      <c r="O93" s="16"/>
      <c r="P93" s="16"/>
      <c r="Q93" s="16"/>
    </row>
    <row r="95" customFormat="false" ht="15" hidden="false" customHeight="true" outlineLevel="0" collapsed="false">
      <c r="A95" s="52" t="s">
        <v>284</v>
      </c>
      <c r="C95" s="57" t="n">
        <v>0.02</v>
      </c>
    </row>
    <row r="96" customFormat="false" ht="15" hidden="false" customHeight="true" outlineLevel="0" collapsed="false">
      <c r="A96" s="51" t="s">
        <v>285</v>
      </c>
    </row>
    <row r="98" customFormat="false" ht="15" hidden="false" customHeight="true" outlineLevel="0" collapsed="false">
      <c r="A98" s="52" t="s">
        <v>286</v>
      </c>
    </row>
    <row r="99" customFormat="false" ht="15" hidden="false" customHeight="true" outlineLevel="0" collapsed="false">
      <c r="A99" s="52" t="s">
        <v>287</v>
      </c>
      <c r="C99" s="58" t="n">
        <f aca="false">'Cost of Capital (WACC)'!$B$89</f>
        <v>0.0666452911839978</v>
      </c>
    </row>
    <row r="100" customFormat="false" ht="15" hidden="false" customHeight="true" outlineLevel="0" collapsed="false">
      <c r="A100" s="52" t="s">
        <v>288</v>
      </c>
      <c r="C100" s="58" t="n">
        <f aca="false">'Cost of Capital (WACC)'!$B$39</f>
        <v>0.0829226381601558</v>
      </c>
    </row>
    <row r="102" customFormat="false" ht="15" hidden="false" customHeight="true" outlineLevel="0" collapsed="false">
      <c r="A102" s="13" t="s">
        <v>289</v>
      </c>
    </row>
    <row r="103" customFormat="false" ht="15" hidden="false" customHeight="true" outlineLevel="0" collapsed="false">
      <c r="A103" s="52" t="s">
        <v>162</v>
      </c>
      <c r="B103" s="52" t="s">
        <v>290</v>
      </c>
      <c r="C103" s="52" t="s">
        <v>291</v>
      </c>
      <c r="D103" s="52" t="s">
        <v>292</v>
      </c>
    </row>
    <row r="104" customFormat="false" ht="15" hidden="false" customHeight="true" outlineLevel="0" collapsed="false">
      <c r="A104" s="52" t="s">
        <v>293</v>
      </c>
      <c r="B104" s="8" t="n">
        <f aca="false">Q79</f>
        <v>4146.55881472579</v>
      </c>
      <c r="C104" s="59" t="n">
        <f aca="false">$C$99</f>
        <v>0.0666452911839978</v>
      </c>
      <c r="D104" s="55" t="n">
        <f aca="false">B104*(1+$C$95)/(C104-$C$95)</f>
        <v>90673.4610003095</v>
      </c>
    </row>
    <row r="105" customFormat="false" ht="15" hidden="false" customHeight="true" outlineLevel="0" collapsed="false">
      <c r="A105" s="52" t="s">
        <v>294</v>
      </c>
      <c r="B105" s="8" t="n">
        <f aca="false">Q83</f>
        <v>3372.56076681587</v>
      </c>
      <c r="C105" s="59" t="n">
        <f aca="false">$C$100</f>
        <v>0.0829226381601558</v>
      </c>
      <c r="D105" s="55" t="n">
        <f aca="false">B105*(1+$C$95)/(C105-$C$95)</f>
        <v>54670.4982934185</v>
      </c>
    </row>
    <row r="106" customFormat="false" ht="15" hidden="false" customHeight="true" outlineLevel="0" collapsed="false">
      <c r="A106" s="52" t="s">
        <v>295</v>
      </c>
      <c r="B106" s="8" t="n">
        <f aca="false">Q87</f>
        <v>-593.241649268813</v>
      </c>
      <c r="C106" s="59" t="n">
        <f aca="false">$C$99</f>
        <v>0.0666452911839978</v>
      </c>
      <c r="D106" s="55" t="n">
        <f aca="false">B106*(1+$C$95)/(C106-$C$95)</f>
        <v>-12972.5094836963</v>
      </c>
    </row>
    <row r="107" customFormat="false" ht="15" hidden="false" customHeight="true" outlineLevel="0" collapsed="false">
      <c r="A107" s="52" t="s">
        <v>296</v>
      </c>
      <c r="B107" s="8" t="n">
        <f aca="false">Q91</f>
        <v>-490.478969979774</v>
      </c>
      <c r="C107" s="59" t="n">
        <f aca="false">$C$100</f>
        <v>0.0829226381601558</v>
      </c>
      <c r="D107" s="55" t="n">
        <f aca="false">B107*(1+$C$95)/(C107-$C$95)</f>
        <v>-7950.85145835739</v>
      </c>
    </row>
    <row r="109" customFormat="false" ht="15" hidden="false" customHeight="true" outlineLevel="0" collapsed="false">
      <c r="A109" s="51" t="s">
        <v>297</v>
      </c>
    </row>
  </sheetData>
  <mergeCells count="1">
    <mergeCell ref="A38:Q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8"/>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E17" activeCellId="0" sqref="E17"/>
    </sheetView>
  </sheetViews>
  <sheetFormatPr defaultColWidth="8.71484375" defaultRowHeight="15" zeroHeight="false" outlineLevelRow="0" outlineLevelCol="0"/>
  <cols>
    <col collapsed="false" customWidth="true" hidden="false" outlineLevel="0" max="1" min="1" style="1" width="46"/>
    <col collapsed="false" customWidth="true" hidden="false" outlineLevel="0" max="5" min="2" style="1" width="16"/>
    <col collapsed="false" customWidth="true" hidden="false" outlineLevel="0" max="6" min="6" style="1" width="20"/>
    <col collapsed="false" customWidth="true" hidden="false" outlineLevel="0" max="7" min="7" style="1" width="46"/>
  </cols>
  <sheetData>
    <row r="1" customFormat="false" ht="17.25" hidden="false" customHeight="true" outlineLevel="0" collapsed="false">
      <c r="A1" s="2" t="s">
        <v>298</v>
      </c>
    </row>
    <row r="2" customFormat="false" ht="15" hidden="false" customHeight="true" outlineLevel="0" collapsed="false">
      <c r="A2" s="60" t="s">
        <v>299</v>
      </c>
    </row>
    <row r="3" customFormat="false" ht="15" hidden="false" customHeight="true" outlineLevel="0" collapsed="false">
      <c r="A3" s="60" t="s">
        <v>300</v>
      </c>
    </row>
    <row r="5" customFormat="false" ht="15" hidden="false" customHeight="true" outlineLevel="0" collapsed="false">
      <c r="A5" s="15" t="s">
        <v>301</v>
      </c>
      <c r="B5" s="16"/>
      <c r="C5" s="16"/>
      <c r="D5" s="16"/>
      <c r="E5" s="16"/>
      <c r="F5" s="16"/>
      <c r="G5" s="16"/>
    </row>
    <row r="7" customFormat="false" ht="15" hidden="false" customHeight="true" outlineLevel="0" collapsed="false">
      <c r="A7" s="13" t="s">
        <v>302</v>
      </c>
    </row>
    <row r="8" customFormat="false" ht="15" hidden="false" customHeight="true" outlineLevel="0" collapsed="false">
      <c r="A8" s="1" t="s">
        <v>303</v>
      </c>
      <c r="B8" s="57" t="n">
        <v>0.0468</v>
      </c>
      <c r="G8" s="61" t="s">
        <v>304</v>
      </c>
    </row>
    <row r="10" customFormat="false" ht="15" hidden="false" customHeight="true" outlineLevel="0" collapsed="false">
      <c r="A10" s="13" t="s">
        <v>305</v>
      </c>
    </row>
    <row r="11" customFormat="false" ht="15" hidden="false" customHeight="true" outlineLevel="0" collapsed="false">
      <c r="A11" s="1" t="s">
        <v>306</v>
      </c>
      <c r="B11" s="57" t="n">
        <v>0.066</v>
      </c>
      <c r="G11" s="61" t="s">
        <v>307</v>
      </c>
    </row>
    <row r="12" customFormat="false" ht="15" hidden="false" customHeight="true" outlineLevel="0" collapsed="false">
      <c r="A12" s="1" t="s">
        <v>308</v>
      </c>
      <c r="B12" s="57" t="n">
        <v>0.0423</v>
      </c>
      <c r="G12" s="61" t="s">
        <v>309</v>
      </c>
    </row>
    <row r="14" customFormat="false" ht="15" hidden="false" customHeight="true" outlineLevel="0" collapsed="false">
      <c r="A14" s="13" t="s">
        <v>310</v>
      </c>
    </row>
    <row r="15" customFormat="false" ht="15" hidden="false" customHeight="true" outlineLevel="0" collapsed="false">
      <c r="A15" s="1" t="s">
        <v>311</v>
      </c>
      <c r="B15" s="62" t="n">
        <v>0.08</v>
      </c>
      <c r="G15" s="61" t="s">
        <v>312</v>
      </c>
    </row>
    <row r="17" customFormat="false" ht="15" hidden="false" customHeight="true" outlineLevel="0" collapsed="false">
      <c r="A17" s="13" t="s">
        <v>313</v>
      </c>
    </row>
    <row r="18" customFormat="false" ht="15" hidden="false" customHeight="true" outlineLevel="0" collapsed="false">
      <c r="A18" s="1" t="s">
        <v>314</v>
      </c>
      <c r="B18" s="62" t="n">
        <v>0.46</v>
      </c>
      <c r="G18" s="61" t="s">
        <v>315</v>
      </c>
    </row>
    <row r="19" customFormat="false" ht="15" hidden="false" customHeight="true" outlineLevel="0" collapsed="false">
      <c r="A19" s="1" t="s">
        <v>316</v>
      </c>
      <c r="B19" s="63" t="n">
        <v>30100</v>
      </c>
      <c r="G19" s="61" t="s">
        <v>317</v>
      </c>
    </row>
    <row r="20" customFormat="false" ht="15" hidden="false" customHeight="true" outlineLevel="0" collapsed="false">
      <c r="A20" s="1" t="s">
        <v>318</v>
      </c>
      <c r="B20" s="63" t="n">
        <v>21100</v>
      </c>
      <c r="G20" s="61" t="s">
        <v>319</v>
      </c>
    </row>
    <row r="21" customFormat="false" ht="15" hidden="false" customHeight="true" outlineLevel="0" collapsed="false">
      <c r="A21" s="1" t="s">
        <v>320</v>
      </c>
      <c r="B21" s="64" t="n">
        <f aca="false">B20/B19</f>
        <v>0.700996677740864</v>
      </c>
    </row>
    <row r="22" customFormat="false" ht="15" hidden="false" customHeight="true" outlineLevel="0" collapsed="false">
      <c r="A22" s="1" t="s">
        <v>321</v>
      </c>
      <c r="B22" s="65" t="n">
        <v>0.25</v>
      </c>
      <c r="G22" s="61" t="s">
        <v>322</v>
      </c>
    </row>
    <row r="23" customFormat="false" ht="15" hidden="false" customHeight="true" outlineLevel="0" collapsed="false">
      <c r="A23" s="1" t="s">
        <v>323</v>
      </c>
      <c r="B23" s="66" t="n">
        <f aca="false">B18*(1+(1-B22)*B21)</f>
        <v>0.701843853820598</v>
      </c>
    </row>
    <row r="25" customFormat="false" ht="15" hidden="false" customHeight="true" outlineLevel="0" collapsed="false">
      <c r="A25" s="13" t="s">
        <v>324</v>
      </c>
    </row>
    <row r="26" customFormat="false" ht="15" hidden="false" customHeight="true" outlineLevel="0" collapsed="false">
      <c r="A26" s="67" t="s">
        <v>325</v>
      </c>
      <c r="B26" s="67" t="s">
        <v>326</v>
      </c>
      <c r="C26" s="67" t="s">
        <v>327</v>
      </c>
      <c r="D26" s="67" t="s">
        <v>328</v>
      </c>
      <c r="E26" s="67" t="s">
        <v>329</v>
      </c>
    </row>
    <row r="27" customFormat="false" ht="15" hidden="false" customHeight="true" outlineLevel="0" collapsed="false">
      <c r="A27" s="68" t="s">
        <v>330</v>
      </c>
      <c r="B27" s="69" t="n">
        <v>16780</v>
      </c>
      <c r="C27" s="70" t="n">
        <f aca="false">B27/$B$31</f>
        <v>0.672814755412991</v>
      </c>
      <c r="D27" s="71" t="n">
        <v>0.0023</v>
      </c>
      <c r="E27" s="72" t="n">
        <f aca="false">C27*D27</f>
        <v>0.00154747393744988</v>
      </c>
      <c r="G27" s="61" t="s">
        <v>331</v>
      </c>
    </row>
    <row r="28" customFormat="false" ht="15" hidden="false" customHeight="true" outlineLevel="0" collapsed="false">
      <c r="A28" s="68" t="s">
        <v>332</v>
      </c>
      <c r="B28" s="69" t="n">
        <v>1800</v>
      </c>
      <c r="C28" s="70" t="n">
        <f aca="false">B28/$B$31</f>
        <v>0.0721732157177225</v>
      </c>
      <c r="D28" s="71" t="n">
        <v>0</v>
      </c>
      <c r="E28" s="72" t="n">
        <f aca="false">C28*D28</f>
        <v>0</v>
      </c>
      <c r="G28" s="61" t="s">
        <v>333</v>
      </c>
    </row>
    <row r="29" customFormat="false" ht="15" hidden="false" customHeight="true" outlineLevel="0" collapsed="false">
      <c r="A29" s="68" t="s">
        <v>334</v>
      </c>
      <c r="B29" s="69" t="n">
        <v>1270</v>
      </c>
      <c r="C29" s="70" t="n">
        <f aca="false">B29/$B$31</f>
        <v>0.0509222133119487</v>
      </c>
      <c r="D29" s="71" t="n">
        <v>0.0078</v>
      </c>
      <c r="E29" s="72" t="n">
        <f aca="false">C29*D29</f>
        <v>0.0003971932638332</v>
      </c>
      <c r="G29" s="61" t="s">
        <v>335</v>
      </c>
    </row>
    <row r="30" customFormat="false" ht="15" hidden="false" customHeight="true" outlineLevel="0" collapsed="false">
      <c r="A30" s="68" t="s">
        <v>336</v>
      </c>
      <c r="B30" s="69" t="n">
        <v>5090</v>
      </c>
      <c r="C30" s="70" t="n">
        <f aca="false">B30/$B$31</f>
        <v>0.204089815557338</v>
      </c>
      <c r="D30" s="71" t="n">
        <v>0.022</v>
      </c>
      <c r="E30" s="72" t="n">
        <f aca="false">C30*D30</f>
        <v>0.00448997594226143</v>
      </c>
      <c r="G30" s="61" t="s">
        <v>337</v>
      </c>
    </row>
    <row r="31" customFormat="false" ht="15" hidden="false" customHeight="true" outlineLevel="0" collapsed="false">
      <c r="A31" s="73" t="s">
        <v>338</v>
      </c>
      <c r="B31" s="74" t="n">
        <f aca="false">SUM(B27:B30)</f>
        <v>24940</v>
      </c>
      <c r="C31" s="70" t="n">
        <f aca="false">SUM(C27:C30)</f>
        <v>1</v>
      </c>
      <c r="G31" s="61" t="s">
        <v>339</v>
      </c>
    </row>
    <row r="32" customFormat="false" ht="15" hidden="false" customHeight="true" outlineLevel="0" collapsed="false">
      <c r="A32" s="13" t="s">
        <v>340</v>
      </c>
      <c r="B32" s="75" t="n">
        <f aca="false">SUM(E27:E30)</f>
        <v>0.00643464314354451</v>
      </c>
    </row>
    <row r="34" customFormat="false" ht="15" hidden="false" customHeight="true" outlineLevel="0" collapsed="false">
      <c r="A34" s="13" t="s">
        <v>341</v>
      </c>
    </row>
    <row r="35" customFormat="false" ht="15" hidden="false" customHeight="true" outlineLevel="0" collapsed="false">
      <c r="A35" s="76" t="s">
        <v>342</v>
      </c>
    </row>
    <row r="36" customFormat="false" ht="15" hidden="false" customHeight="true" outlineLevel="0" collapsed="false">
      <c r="A36" s="67"/>
      <c r="B36" s="67" t="s">
        <v>343</v>
      </c>
      <c r="C36" s="67" t="s">
        <v>344</v>
      </c>
    </row>
    <row r="37" customFormat="false" ht="15" hidden="false" customHeight="true" outlineLevel="0" collapsed="false">
      <c r="A37" s="68" t="s">
        <v>345</v>
      </c>
      <c r="B37" s="72" t="n">
        <f aca="false">$B$8+$B$15*B11+$B$32</f>
        <v>0.0585146431435445</v>
      </c>
      <c r="C37" s="72" t="n">
        <f aca="false">$B$8+$B$15*$B$12+$B$32</f>
        <v>0.0566186431435445</v>
      </c>
    </row>
    <row r="38" customFormat="false" ht="15" hidden="false" customHeight="true" outlineLevel="0" collapsed="false">
      <c r="A38" s="68" t="s">
        <v>346</v>
      </c>
      <c r="B38" s="72" t="n">
        <f aca="false">$B$8+$B$23*B11+$B$32</f>
        <v>0.099556337495704</v>
      </c>
      <c r="C38" s="77" t="n">
        <f aca="false">$B$8+$B$23*$B$12+$B$32</f>
        <v>0.0829226381601558</v>
      </c>
      <c r="G38" s="61" t="s">
        <v>347</v>
      </c>
    </row>
    <row r="39" customFormat="false" ht="15" hidden="false" customHeight="true" outlineLevel="0" collapsed="false">
      <c r="A39" s="13" t="s">
        <v>348</v>
      </c>
      <c r="B39" s="75" t="n">
        <f aca="false">C38</f>
        <v>0.0829226381601558</v>
      </c>
    </row>
    <row r="42" customFormat="false" ht="15" hidden="false" customHeight="true" outlineLevel="0" collapsed="false">
      <c r="A42" s="15" t="s">
        <v>349</v>
      </c>
      <c r="B42" s="16"/>
      <c r="C42" s="16"/>
      <c r="D42" s="16"/>
      <c r="E42" s="16"/>
      <c r="F42" s="16"/>
      <c r="G42" s="16"/>
    </row>
    <row r="44" customFormat="false" ht="15" hidden="false" customHeight="true" outlineLevel="0" collapsed="false">
      <c r="A44" s="13" t="s">
        <v>350</v>
      </c>
    </row>
    <row r="45" customFormat="false" ht="15" hidden="false" customHeight="true" outlineLevel="0" collapsed="false">
      <c r="A45" s="1" t="s">
        <v>351</v>
      </c>
      <c r="B45" s="78" t="s">
        <v>352</v>
      </c>
      <c r="G45" s="61" t="s">
        <v>353</v>
      </c>
    </row>
    <row r="47" customFormat="false" ht="15" hidden="false" customHeight="true" outlineLevel="0" collapsed="false">
      <c r="A47" s="13" t="s">
        <v>354</v>
      </c>
    </row>
    <row r="48" customFormat="false" ht="15" hidden="false" customHeight="true" outlineLevel="0" collapsed="false">
      <c r="A48" s="67" t="s">
        <v>355</v>
      </c>
      <c r="B48" s="67" t="s">
        <v>356</v>
      </c>
      <c r="C48" s="67"/>
    </row>
    <row r="49" customFormat="false" ht="15" hidden="false" customHeight="true" outlineLevel="0" collapsed="false">
      <c r="A49" s="68" t="s">
        <v>357</v>
      </c>
      <c r="B49" s="71" t="n">
        <v>0.0444</v>
      </c>
      <c r="G49" s="61" t="s">
        <v>358</v>
      </c>
    </row>
    <row r="50" customFormat="false" ht="15" hidden="false" customHeight="true" outlineLevel="0" collapsed="false">
      <c r="A50" s="79" t="s">
        <v>359</v>
      </c>
      <c r="B50" s="80" t="n">
        <v>0.049356338028169</v>
      </c>
      <c r="G50" s="81" t="s">
        <v>360</v>
      </c>
    </row>
    <row r="51" customFormat="false" ht="15" hidden="false" customHeight="true" outlineLevel="0" collapsed="false">
      <c r="A51" s="68" t="s">
        <v>361</v>
      </c>
      <c r="B51" s="71" t="n">
        <v>0.0111</v>
      </c>
      <c r="G51" s="61" t="s">
        <v>362</v>
      </c>
    </row>
    <row r="52" customFormat="false" ht="15" hidden="false" customHeight="true" outlineLevel="0" collapsed="false">
      <c r="A52" s="68" t="s">
        <v>363</v>
      </c>
      <c r="B52" s="72" t="n">
        <f aca="false">$B$8+B51</f>
        <v>0.0579</v>
      </c>
    </row>
    <row r="53" customFormat="false" ht="15" hidden="false" customHeight="true" outlineLevel="0" collapsed="false">
      <c r="A53" s="76" t="s">
        <v>364</v>
      </c>
    </row>
    <row r="54" customFormat="false" ht="15" hidden="false" customHeight="true" outlineLevel="0" collapsed="false">
      <c r="A54" s="1" t="s">
        <v>365</v>
      </c>
      <c r="B54" s="63" t="n">
        <v>4700</v>
      </c>
      <c r="G54" s="61" t="s">
        <v>366</v>
      </c>
    </row>
    <row r="55" customFormat="false" ht="15" hidden="false" customHeight="true" outlineLevel="0" collapsed="false">
      <c r="A55" s="1" t="s">
        <v>367</v>
      </c>
      <c r="B55" s="63" t="n">
        <v>894</v>
      </c>
      <c r="G55" s="61" t="s">
        <v>368</v>
      </c>
    </row>
    <row r="56" customFormat="false" ht="15" hidden="false" customHeight="true" outlineLevel="0" collapsed="false">
      <c r="A56" s="1" t="s">
        <v>369</v>
      </c>
      <c r="B56" s="82" t="n">
        <f aca="false">B54/B55</f>
        <v>5.25727069351231</v>
      </c>
    </row>
    <row r="57" customFormat="false" ht="15" hidden="false" customHeight="true" outlineLevel="0" collapsed="false">
      <c r="A57" s="1" t="s">
        <v>370</v>
      </c>
      <c r="B57" s="57" t="n">
        <v>0.0078</v>
      </c>
      <c r="G57" s="61" t="s">
        <v>371</v>
      </c>
    </row>
    <row r="58" customFormat="false" ht="15" hidden="false" customHeight="true" outlineLevel="0" collapsed="false">
      <c r="A58" s="68" t="s">
        <v>372</v>
      </c>
      <c r="B58" s="72" t="n">
        <f aca="false">$B$8+B57</f>
        <v>0.0546</v>
      </c>
      <c r="G58" s="61" t="s">
        <v>373</v>
      </c>
    </row>
    <row r="59" customFormat="false" ht="15" hidden="false" customHeight="true" outlineLevel="0" collapsed="false">
      <c r="A59" s="1" t="s">
        <v>374</v>
      </c>
      <c r="B59" s="63" t="n">
        <v>21772</v>
      </c>
      <c r="G59" s="61" t="s">
        <v>375</v>
      </c>
    </row>
    <row r="60" customFormat="false" ht="15" hidden="false" customHeight="true" outlineLevel="0" collapsed="false">
      <c r="A60" s="68" t="s">
        <v>376</v>
      </c>
      <c r="B60" s="72" t="n">
        <f aca="false">B55/B59</f>
        <v>0.0410619143854492</v>
      </c>
    </row>
    <row r="62" customFormat="false" ht="15" hidden="false" customHeight="true" outlineLevel="0" collapsed="false">
      <c r="A62" s="13" t="s">
        <v>377</v>
      </c>
    </row>
    <row r="63" customFormat="false" ht="15" hidden="false" customHeight="true" outlineLevel="0" collapsed="false">
      <c r="A63" s="67" t="s">
        <v>355</v>
      </c>
      <c r="B63" s="67" t="s">
        <v>378</v>
      </c>
    </row>
    <row r="64" customFormat="false" ht="15" hidden="false" customHeight="true" outlineLevel="0" collapsed="false">
      <c r="A64" s="68" t="s">
        <v>379</v>
      </c>
      <c r="B64" s="72" t="n">
        <f aca="false">B49</f>
        <v>0.0444</v>
      </c>
    </row>
    <row r="65" customFormat="false" ht="15" hidden="false" customHeight="true" outlineLevel="0" collapsed="false">
      <c r="A65" s="68" t="s">
        <v>380</v>
      </c>
      <c r="B65" s="72" t="n">
        <f aca="false">B50</f>
        <v>0.049356338028169</v>
      </c>
    </row>
    <row r="66" customFormat="false" ht="15" hidden="false" customHeight="true" outlineLevel="0" collapsed="false">
      <c r="A66" s="68" t="s">
        <v>381</v>
      </c>
      <c r="B66" s="72" t="n">
        <f aca="false">B52</f>
        <v>0.0579</v>
      </c>
    </row>
    <row r="67" customFormat="false" ht="15" hidden="false" customHeight="true" outlineLevel="0" collapsed="false">
      <c r="A67" s="68" t="s">
        <v>382</v>
      </c>
      <c r="B67" s="72" t="n">
        <f aca="false">B58</f>
        <v>0.0546</v>
      </c>
    </row>
    <row r="68" customFormat="false" ht="15" hidden="false" customHeight="true" outlineLevel="0" collapsed="false">
      <c r="A68" s="68" t="s">
        <v>383</v>
      </c>
      <c r="B68" s="72" t="n">
        <f aca="false">B60</f>
        <v>0.0410619143854492</v>
      </c>
    </row>
    <row r="69" customFormat="false" ht="15" hidden="false" customHeight="true" outlineLevel="0" collapsed="false">
      <c r="A69" s="68" t="s">
        <v>384</v>
      </c>
      <c r="B69" s="72" t="n">
        <f aca="false">AVERAGE(B64:B68)</f>
        <v>0.0494636504827236</v>
      </c>
    </row>
    <row r="71" customFormat="false" ht="15" hidden="false" customHeight="true" outlineLevel="0" collapsed="false">
      <c r="A71" s="13" t="s">
        <v>385</v>
      </c>
      <c r="B71" s="75" t="n">
        <f aca="false">B52</f>
        <v>0.0579</v>
      </c>
      <c r="G71" s="61" t="s">
        <v>386</v>
      </c>
    </row>
    <row r="74" customFormat="false" ht="15" hidden="false" customHeight="true" outlineLevel="0" collapsed="false">
      <c r="A74" s="15" t="s">
        <v>387</v>
      </c>
      <c r="B74" s="16"/>
      <c r="C74" s="16"/>
      <c r="D74" s="16"/>
      <c r="E74" s="16"/>
      <c r="F74" s="16"/>
      <c r="G74" s="16"/>
    </row>
    <row r="76" customFormat="false" ht="15" hidden="false" customHeight="true" outlineLevel="0" collapsed="false">
      <c r="A76" s="13" t="s">
        <v>388</v>
      </c>
    </row>
    <row r="77" customFormat="false" ht="15" hidden="false" customHeight="true" outlineLevel="0" collapsed="false">
      <c r="A77" s="1" t="s">
        <v>389</v>
      </c>
      <c r="B77" s="83" t="n">
        <f aca="false">B19</f>
        <v>30100</v>
      </c>
      <c r="G77" s="61" t="s">
        <v>390</v>
      </c>
    </row>
    <row r="78" customFormat="false" ht="15" hidden="false" customHeight="true" outlineLevel="0" collapsed="false">
      <c r="A78" s="1" t="s">
        <v>391</v>
      </c>
      <c r="B78" s="83" t="n">
        <f aca="false">B20</f>
        <v>21100</v>
      </c>
      <c r="G78" s="61" t="s">
        <v>392</v>
      </c>
    </row>
    <row r="79" customFormat="false" ht="15" hidden="false" customHeight="true" outlineLevel="0" collapsed="false">
      <c r="A79" s="1" t="s">
        <v>393</v>
      </c>
      <c r="B79" s="83" t="n">
        <f aca="false">B77+B78</f>
        <v>51200</v>
      </c>
    </row>
    <row r="80" customFormat="false" ht="15" hidden="false" customHeight="true" outlineLevel="0" collapsed="false">
      <c r="A80" s="1" t="s">
        <v>394</v>
      </c>
      <c r="B80" s="59" t="n">
        <f aca="false">B77/B79</f>
        <v>0.587890625</v>
      </c>
    </row>
    <row r="81" customFormat="false" ht="15" hidden="false" customHeight="true" outlineLevel="0" collapsed="false">
      <c r="A81" s="1" t="s">
        <v>395</v>
      </c>
      <c r="B81" s="59" t="n">
        <f aca="false">B78/B79</f>
        <v>0.412109375</v>
      </c>
    </row>
    <row r="83" customFormat="false" ht="15" hidden="false" customHeight="true" outlineLevel="0" collapsed="false">
      <c r="A83" s="13" t="s">
        <v>396</v>
      </c>
    </row>
    <row r="84" customFormat="false" ht="15" hidden="false" customHeight="true" outlineLevel="0" collapsed="false">
      <c r="A84" s="1" t="s">
        <v>397</v>
      </c>
      <c r="B84" s="59" t="n">
        <f aca="false">B39</f>
        <v>0.0829226381601558</v>
      </c>
    </row>
    <row r="85" customFormat="false" ht="15" hidden="false" customHeight="true" outlineLevel="0" collapsed="false">
      <c r="A85" s="1" t="s">
        <v>398</v>
      </c>
      <c r="B85" s="59" t="n">
        <f aca="false">B71</f>
        <v>0.0579</v>
      </c>
    </row>
    <row r="86" customFormat="false" ht="15" hidden="false" customHeight="true" outlineLevel="0" collapsed="false">
      <c r="A86" s="1" t="s">
        <v>399</v>
      </c>
      <c r="B86" s="64" t="n">
        <f aca="false">B22</f>
        <v>0.25</v>
      </c>
    </row>
    <row r="87" customFormat="false" ht="15" hidden="false" customHeight="true" outlineLevel="0" collapsed="false">
      <c r="A87" s="1" t="s">
        <v>400</v>
      </c>
      <c r="B87" s="59" t="n">
        <f aca="false">B85*(1-B86)</f>
        <v>0.043425</v>
      </c>
    </row>
    <row r="89" customFormat="false" ht="15.75" hidden="false" customHeight="true" outlineLevel="0" collapsed="false">
      <c r="A89" s="84" t="s">
        <v>401</v>
      </c>
      <c r="B89" s="85" t="n">
        <f aca="false">B80*B84+B81*B87</f>
        <v>0.0666452911839978</v>
      </c>
      <c r="C89" s="86"/>
      <c r="D89" s="86"/>
      <c r="E89" s="86"/>
      <c r="F89" s="86"/>
      <c r="G89" s="86"/>
    </row>
    <row r="92" customFormat="false" ht="15" hidden="false" customHeight="true" outlineLevel="0" collapsed="false">
      <c r="A92" s="15" t="s">
        <v>402</v>
      </c>
      <c r="B92" s="16"/>
      <c r="C92" s="16"/>
      <c r="D92" s="16"/>
      <c r="E92" s="16"/>
      <c r="F92" s="16"/>
      <c r="G92" s="16"/>
    </row>
    <row r="94" customFormat="false" ht="27.75" hidden="false" customHeight="true" outlineLevel="0" collapsed="false">
      <c r="A94" s="87" t="s">
        <v>403</v>
      </c>
      <c r="B94" s="87"/>
      <c r="C94" s="87"/>
      <c r="D94" s="87"/>
      <c r="E94" s="87"/>
      <c r="F94" s="87"/>
      <c r="G94" s="87"/>
    </row>
    <row r="95" customFormat="false" ht="27.75" hidden="false" customHeight="true" outlineLevel="0" collapsed="false">
      <c r="A95" s="88" t="s">
        <v>404</v>
      </c>
      <c r="B95" s="88"/>
      <c r="C95" s="88"/>
      <c r="D95" s="88"/>
      <c r="E95" s="88"/>
      <c r="F95" s="88"/>
      <c r="G95" s="88"/>
    </row>
    <row r="96" customFormat="false" ht="27.75" hidden="false" customHeight="true" outlineLevel="0" collapsed="false">
      <c r="A96" s="88" t="s">
        <v>405</v>
      </c>
      <c r="B96" s="88"/>
      <c r="C96" s="88"/>
      <c r="D96" s="88"/>
      <c r="E96" s="88"/>
      <c r="F96" s="88"/>
      <c r="G96" s="88"/>
    </row>
    <row r="97" customFormat="false" ht="27.75" hidden="false" customHeight="true" outlineLevel="0" collapsed="false">
      <c r="A97" s="88" t="s">
        <v>406</v>
      </c>
      <c r="B97" s="88"/>
      <c r="C97" s="88"/>
      <c r="D97" s="88"/>
      <c r="E97" s="88"/>
      <c r="F97" s="88"/>
      <c r="G97" s="88"/>
    </row>
    <row r="98" customFormat="false" ht="27.75" hidden="false" customHeight="true" outlineLevel="0" collapsed="false">
      <c r="A98" s="88" t="s">
        <v>407</v>
      </c>
      <c r="B98" s="88"/>
      <c r="C98" s="88"/>
      <c r="D98" s="88"/>
      <c r="E98" s="88"/>
      <c r="F98" s="88"/>
      <c r="G98" s="88"/>
    </row>
    <row r="99" customFormat="false" ht="27.75" hidden="false" customHeight="true" outlineLevel="0" collapsed="false">
      <c r="A99" s="88" t="s">
        <v>408</v>
      </c>
      <c r="B99" s="88"/>
      <c r="C99" s="88"/>
      <c r="D99" s="88"/>
      <c r="E99" s="88"/>
      <c r="F99" s="88"/>
      <c r="G99" s="88"/>
    </row>
    <row r="100" customFormat="false" ht="27.75" hidden="false" customHeight="true" outlineLevel="0" collapsed="false">
      <c r="A100" s="88" t="s">
        <v>409</v>
      </c>
      <c r="B100" s="88"/>
      <c r="C100" s="88"/>
      <c r="D100" s="88"/>
      <c r="E100" s="88"/>
      <c r="F100" s="88"/>
      <c r="G100" s="88"/>
    </row>
    <row r="101" customFormat="false" ht="27.75" hidden="false" customHeight="true" outlineLevel="0" collapsed="false">
      <c r="A101" s="88" t="s">
        <v>410</v>
      </c>
      <c r="B101" s="88"/>
      <c r="C101" s="88"/>
      <c r="D101" s="88"/>
      <c r="E101" s="88"/>
      <c r="F101" s="88"/>
      <c r="G101" s="88"/>
    </row>
    <row r="102" customFormat="false" ht="27.75" hidden="false" customHeight="true" outlineLevel="0" collapsed="false">
      <c r="A102" s="88" t="s">
        <v>411</v>
      </c>
      <c r="B102" s="88"/>
      <c r="C102" s="88"/>
      <c r="D102" s="88"/>
      <c r="E102" s="88"/>
      <c r="F102" s="88"/>
      <c r="G102" s="88"/>
    </row>
    <row r="103" customFormat="false" ht="27.75" hidden="false" customHeight="true" outlineLevel="0" collapsed="false">
      <c r="A103" s="88" t="s">
        <v>412</v>
      </c>
      <c r="B103" s="88"/>
      <c r="C103" s="88"/>
      <c r="D103" s="88"/>
      <c r="E103" s="88"/>
      <c r="F103" s="88"/>
      <c r="G103" s="88"/>
    </row>
    <row r="104" customFormat="false" ht="27.75" hidden="false" customHeight="true" outlineLevel="0" collapsed="false">
      <c r="A104" s="89" t="s">
        <v>413</v>
      </c>
      <c r="B104" s="89"/>
      <c r="C104" s="89"/>
      <c r="D104" s="89"/>
      <c r="E104" s="89"/>
      <c r="F104" s="89"/>
      <c r="G104" s="89"/>
    </row>
    <row r="105" customFormat="false" ht="27.75" hidden="false" customHeight="true" outlineLevel="0" collapsed="false">
      <c r="A105" s="88" t="s">
        <v>414</v>
      </c>
      <c r="B105" s="88"/>
      <c r="C105" s="88"/>
      <c r="D105" s="88"/>
      <c r="E105" s="88"/>
      <c r="F105" s="88"/>
      <c r="G105" s="88"/>
    </row>
    <row r="106" customFormat="false" ht="27.75" hidden="false" customHeight="true" outlineLevel="0" collapsed="false">
      <c r="A106" s="88" t="s">
        <v>415</v>
      </c>
      <c r="B106" s="88"/>
      <c r="C106" s="88"/>
      <c r="D106" s="88"/>
      <c r="E106" s="88"/>
      <c r="F106" s="88"/>
      <c r="G106" s="88"/>
    </row>
    <row r="107" customFormat="false" ht="7.5" hidden="false" customHeight="true" outlineLevel="0" collapsed="false">
      <c r="A107" s="88"/>
      <c r="B107" s="88"/>
      <c r="C107" s="88"/>
      <c r="D107" s="88"/>
      <c r="E107" s="88"/>
      <c r="F107" s="88"/>
      <c r="G107" s="88"/>
    </row>
    <row r="108" customFormat="false" ht="27.75" hidden="false" customHeight="true" outlineLevel="0" collapsed="false">
      <c r="A108" s="88" t="s">
        <v>416</v>
      </c>
      <c r="B108" s="88"/>
      <c r="C108" s="88"/>
      <c r="D108" s="88"/>
      <c r="E108" s="88"/>
      <c r="F108" s="88"/>
      <c r="G108" s="88"/>
    </row>
  </sheetData>
  <mergeCells count="15">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6" min="2" style="1" width="13"/>
  </cols>
  <sheetData>
    <row r="1" customFormat="false" ht="17.25" hidden="false" customHeight="true" outlineLevel="0" collapsed="false">
      <c r="A1" s="28" t="s">
        <v>417</v>
      </c>
    </row>
    <row r="2" customFormat="false" ht="15" hidden="false" customHeight="true" outlineLevel="0" collapsed="false">
      <c r="A2" s="29" t="s">
        <v>418</v>
      </c>
    </row>
    <row r="4" customFormat="false" ht="15" hidden="false" customHeight="true" outlineLevel="0" collapsed="false">
      <c r="A4" s="31" t="s">
        <v>419</v>
      </c>
      <c r="B4" s="31"/>
      <c r="C4" s="31"/>
      <c r="D4" s="31"/>
      <c r="E4" s="31"/>
      <c r="F4" s="31"/>
    </row>
    <row r="6" customFormat="false" ht="15" hidden="false" customHeight="true" outlineLevel="0" collapsed="false">
      <c r="A6" s="21" t="s">
        <v>420</v>
      </c>
      <c r="B6" s="90" t="str">
        <f aca="false">'Cash Flow Statement'!M4</f>
        <v>Forecast</v>
      </c>
      <c r="C6" s="90" t="n">
        <f aca="false">'Cash Flow Statement'!N4</f>
        <v>0</v>
      </c>
      <c r="D6" s="90" t="n">
        <f aca="false">'Cash Flow Statement'!O4</f>
        <v>0</v>
      </c>
      <c r="E6" s="90" t="n">
        <f aca="false">'Cash Flow Statement'!P4</f>
        <v>0</v>
      </c>
      <c r="F6" s="90" t="n">
        <f aca="false">'Cash Flow Statement'!Q4</f>
        <v>0</v>
      </c>
    </row>
    <row r="7" customFormat="false" ht="15" hidden="false" customHeight="true" outlineLevel="0" collapsed="false">
      <c r="A7" s="21" t="s">
        <v>421</v>
      </c>
      <c r="B7" s="42" t="n">
        <v>1</v>
      </c>
      <c r="C7" s="42" t="n">
        <v>2</v>
      </c>
      <c r="D7" s="42" t="n">
        <v>3</v>
      </c>
      <c r="E7" s="42" t="n">
        <v>4</v>
      </c>
      <c r="F7" s="42" t="n">
        <v>5</v>
      </c>
    </row>
    <row r="9" customFormat="false" ht="15" hidden="false" customHeight="true" outlineLevel="0" collapsed="false">
      <c r="A9" s="21" t="s">
        <v>422</v>
      </c>
      <c r="C9" s="91" t="n">
        <f aca="false">'Cost of Capital (WACC)'!$B$89</f>
        <v>0.0666452911839978</v>
      </c>
    </row>
    <row r="10" customFormat="false" ht="15" hidden="false" customHeight="true" outlineLevel="0" collapsed="false">
      <c r="A10" s="21" t="s">
        <v>423</v>
      </c>
      <c r="C10" s="91" t="n">
        <f aca="false">'Cost of Capital (WACC)'!$B$39</f>
        <v>0.0829226381601558</v>
      </c>
    </row>
    <row r="11" customFormat="false" ht="15" hidden="false" customHeight="true" outlineLevel="0" collapsed="false">
      <c r="A11" s="21" t="s">
        <v>424</v>
      </c>
      <c r="C11" s="91" t="n">
        <f aca="false">'Cash Flow Statement'!$C$95</f>
        <v>0.02</v>
      </c>
    </row>
    <row r="13" customFormat="false" ht="15" hidden="false" customHeight="true" outlineLevel="0" collapsed="false">
      <c r="A13" s="31" t="s">
        <v>425</v>
      </c>
      <c r="B13" s="31"/>
      <c r="C13" s="31"/>
      <c r="D13" s="31"/>
      <c r="E13" s="31"/>
      <c r="F13" s="31"/>
    </row>
    <row r="15" customFormat="false" ht="15" hidden="false" customHeight="true" outlineLevel="0" collapsed="false">
      <c r="A15" s="21" t="s">
        <v>426</v>
      </c>
      <c r="C15" s="38" t="n">
        <f aca="false">'Cash Flow Statement'!$K$75</f>
        <v>63436</v>
      </c>
    </row>
    <row r="16" customFormat="false" ht="15" hidden="false" customHeight="true" outlineLevel="0" collapsed="false">
      <c r="A16" s="21" t="s">
        <v>427</v>
      </c>
      <c r="C16" s="38" t="n">
        <f aca="false">'Balance Sheet'!$K$48</f>
        <v>41664</v>
      </c>
    </row>
    <row r="17" customFormat="false" ht="15" hidden="false" customHeight="true" outlineLevel="0" collapsed="false">
      <c r="A17" s="21" t="s">
        <v>428</v>
      </c>
      <c r="C17" s="38" t="n">
        <f aca="false">'Balance Sheet'!$K$31+'Balance Sheet'!$K$36</f>
        <v>21772</v>
      </c>
    </row>
    <row r="18" customFormat="false" ht="15" hidden="false" customHeight="true" outlineLevel="0" collapsed="false">
      <c r="A18" s="21" t="s">
        <v>429</v>
      </c>
      <c r="C18" s="38" t="n">
        <f aca="false">'Balance Sheet'!$K$7</f>
        <v>3839</v>
      </c>
    </row>
    <row r="19" customFormat="false" ht="15" hidden="false" customHeight="true" outlineLevel="0" collapsed="false">
      <c r="A19" s="21" t="s">
        <v>430</v>
      </c>
      <c r="C19" s="47" t="n">
        <f aca="false">C17-C18</f>
        <v>17933</v>
      </c>
    </row>
    <row r="20" customFormat="false" ht="15" hidden="false" customHeight="true" outlineLevel="0" collapsed="false">
      <c r="A20" s="21" t="s">
        <v>431</v>
      </c>
      <c r="C20" s="44" t="n">
        <f aca="false">'Income Statement'!$K$35</f>
        <v>1187</v>
      </c>
    </row>
    <row r="21" customFormat="false" ht="15" hidden="false" customHeight="true" outlineLevel="0" collapsed="false">
      <c r="A21" s="21" t="s">
        <v>432</v>
      </c>
      <c r="C21" s="43" t="n">
        <v>25.37</v>
      </c>
    </row>
    <row r="23" customFormat="false" ht="15" hidden="false" customHeight="true" outlineLevel="0" collapsed="false">
      <c r="A23" s="31" t="s">
        <v>433</v>
      </c>
      <c r="B23" s="31"/>
      <c r="C23" s="31"/>
      <c r="D23" s="31"/>
      <c r="E23" s="31"/>
      <c r="F23" s="31"/>
    </row>
    <row r="25" customFormat="false" ht="15" hidden="false" customHeight="true" outlineLevel="0" collapsed="false">
      <c r="A25" s="21" t="s">
        <v>434</v>
      </c>
      <c r="B25" s="38" t="n">
        <f aca="false">'Cash Flow Statement'!M79</f>
        <v>4848.69247594709</v>
      </c>
      <c r="C25" s="38" t="n">
        <f aca="false">'Cash Flow Statement'!N79</f>
        <v>4211.11970474919</v>
      </c>
      <c r="D25" s="38" t="n">
        <f aca="false">'Cash Flow Statement'!O79</f>
        <v>4189.83154878262</v>
      </c>
      <c r="E25" s="38" t="n">
        <f aca="false">'Cash Flow Statement'!P79</f>
        <v>4168.29865726891</v>
      </c>
      <c r="F25" s="38" t="n">
        <f aca="false">'Cash Flow Statement'!Q79</f>
        <v>4146.55881472579</v>
      </c>
    </row>
    <row r="26" customFormat="false" ht="15" hidden="false" customHeight="true" outlineLevel="0" collapsed="false">
      <c r="A26" s="21" t="s">
        <v>435</v>
      </c>
      <c r="B26" s="92" t="n">
        <f aca="false">1/(1+$C$9)^B7</f>
        <v>0.937518787421805</v>
      </c>
      <c r="C26" s="92" t="n">
        <f aca="false">1/(1+$C$9)^C7</f>
        <v>0.878941476768852</v>
      </c>
      <c r="D26" s="92" t="n">
        <f aca="false">1/(1+$C$9)^D7</f>
        <v>0.824024147515065</v>
      </c>
      <c r="E26" s="92" t="n">
        <f aca="false">1/(1+$C$9)^E7</f>
        <v>0.77253811958461</v>
      </c>
      <c r="F26" s="92" t="n">
        <f aca="false">1/(1+$C$9)^F7</f>
        <v>0.724269001110085</v>
      </c>
    </row>
    <row r="27" customFormat="false" ht="15" hidden="false" customHeight="true" outlineLevel="0" collapsed="false">
      <c r="A27" s="21" t="s">
        <v>436</v>
      </c>
      <c r="B27" s="47" t="n">
        <f aca="false">B25*B26</f>
        <v>4545.74029063115</v>
      </c>
      <c r="C27" s="47" t="n">
        <f aca="false">C25*C26</f>
        <v>3701.32777214266</v>
      </c>
      <c r="D27" s="47" t="n">
        <f aca="false">D25*D26</f>
        <v>3452.52237021732</v>
      </c>
      <c r="E27" s="47" t="n">
        <f aca="false">E25*E26</f>
        <v>3220.16960655358</v>
      </c>
      <c r="F27" s="47" t="n">
        <f aca="false">F25*F26</f>
        <v>3003.22401078567</v>
      </c>
    </row>
    <row r="29" customFormat="false" ht="15" hidden="false" customHeight="true" outlineLevel="0" collapsed="false">
      <c r="A29" s="21" t="s">
        <v>437</v>
      </c>
      <c r="C29" s="47" t="n">
        <f aca="false">SUM(B27:F27)</f>
        <v>17922.9840503304</v>
      </c>
    </row>
    <row r="30" customFormat="false" ht="15" hidden="false" customHeight="true" outlineLevel="0" collapsed="false">
      <c r="A30" s="21" t="s">
        <v>438</v>
      </c>
      <c r="C30" s="38" t="n">
        <f aca="false">'Cash Flow Statement'!$D$104</f>
        <v>90673.4610003095</v>
      </c>
    </row>
    <row r="31" customFormat="false" ht="15" hidden="false" customHeight="true" outlineLevel="0" collapsed="false">
      <c r="A31" s="21" t="s">
        <v>439</v>
      </c>
      <c r="C31" s="47" t="n">
        <f aca="false">C30/(1+$C$9)^F7</f>
        <v>65671.9770258884</v>
      </c>
    </row>
    <row r="32" customFormat="false" ht="15" hidden="false" customHeight="true" outlineLevel="0" collapsed="false">
      <c r="A32" s="21" t="s">
        <v>440</v>
      </c>
      <c r="C32" s="47" t="n">
        <f aca="false">C29+C31</f>
        <v>83594.9610762188</v>
      </c>
    </row>
    <row r="33" customFormat="false" ht="15" hidden="false" customHeight="true" outlineLevel="0" collapsed="false">
      <c r="A33" s="21" t="s">
        <v>441</v>
      </c>
      <c r="C33" s="47" t="n">
        <f aca="false">-C19</f>
        <v>-17933</v>
      </c>
    </row>
    <row r="34" customFormat="false" ht="15" hidden="false" customHeight="true" outlineLevel="0" collapsed="false">
      <c r="A34" s="21" t="s">
        <v>442</v>
      </c>
      <c r="C34" s="47" t="n">
        <f aca="false">C32+C33</f>
        <v>65661.9610762188</v>
      </c>
    </row>
    <row r="35" customFormat="false" ht="15" hidden="false" customHeight="true" outlineLevel="0" collapsed="false">
      <c r="A35" s="21" t="s">
        <v>443</v>
      </c>
      <c r="C35" s="93" t="n">
        <f aca="false">C20</f>
        <v>1187</v>
      </c>
    </row>
    <row r="36" customFormat="false" ht="15" hidden="false" customHeight="true" outlineLevel="0" collapsed="false">
      <c r="A36" s="34" t="s">
        <v>444</v>
      </c>
      <c r="C36" s="49" t="n">
        <f aca="false">C34/C35</f>
        <v>55.3175746219198</v>
      </c>
    </row>
    <row r="37" customFormat="false" ht="15" hidden="false" customHeight="true" outlineLevel="0" collapsed="false">
      <c r="A37" s="21" t="s">
        <v>445</v>
      </c>
      <c r="C37" s="50" t="n">
        <f aca="false">C21</f>
        <v>25.37</v>
      </c>
    </row>
    <row r="38" customFormat="false" ht="15" hidden="false" customHeight="true" outlineLevel="0" collapsed="false">
      <c r="A38" s="21" t="s">
        <v>446</v>
      </c>
      <c r="C38" s="40" t="n">
        <f aca="false">C36/C37-1</f>
        <v>1.18043258265352</v>
      </c>
    </row>
    <row r="40" customFormat="false" ht="15" hidden="false" customHeight="true" outlineLevel="0" collapsed="false">
      <c r="A40" s="31" t="s">
        <v>447</v>
      </c>
      <c r="B40" s="31"/>
      <c r="C40" s="31"/>
      <c r="D40" s="31"/>
      <c r="E40" s="31"/>
      <c r="F40" s="31"/>
    </row>
    <row r="42" customFormat="false" ht="15" hidden="false" customHeight="true" outlineLevel="0" collapsed="false">
      <c r="A42" s="21" t="s">
        <v>448</v>
      </c>
      <c r="B42" s="38" t="n">
        <f aca="false">'Cash Flow Statement'!M83</f>
        <v>4074.69442803717</v>
      </c>
      <c r="C42" s="38" t="n">
        <f aca="false">'Cash Flow Statement'!N83</f>
        <v>3437.12165683927</v>
      </c>
      <c r="D42" s="38" t="n">
        <f aca="false">'Cash Flow Statement'!O83</f>
        <v>3415.8335008727</v>
      </c>
      <c r="E42" s="38" t="n">
        <f aca="false">'Cash Flow Statement'!P83</f>
        <v>3394.30060935899</v>
      </c>
      <c r="F42" s="38" t="n">
        <f aca="false">'Cash Flow Statement'!Q83</f>
        <v>3372.56076681587</v>
      </c>
    </row>
    <row r="43" customFormat="false" ht="15" hidden="false" customHeight="true" outlineLevel="0" collapsed="false">
      <c r="A43" s="21" t="s">
        <v>449</v>
      </c>
      <c r="B43" s="92" t="n">
        <f aca="false">1/(1+$C$10)^B7</f>
        <v>0.923426997240506</v>
      </c>
      <c r="C43" s="92" t="n">
        <f aca="false">1/(1+$C$10)^C7</f>
        <v>0.852717419232618</v>
      </c>
      <c r="D43" s="92" t="n">
        <f aca="false">1/(1+$C$10)^D7</f>
        <v>0.787422285936651</v>
      </c>
      <c r="E43" s="92" t="n">
        <f aca="false">1/(1+$C$10)^E7</f>
        <v>0.727126997062737</v>
      </c>
      <c r="F43" s="92" t="n">
        <f aca="false">1/(1+$C$10)^F7</f>
        <v>0.671448699510149</v>
      </c>
    </row>
    <row r="44" customFormat="false" ht="15" hidden="false" customHeight="true" outlineLevel="0" collapsed="false">
      <c r="A44" s="21" t="s">
        <v>450</v>
      </c>
      <c r="B44" s="47" t="n">
        <f aca="false">B42*B43</f>
        <v>3762.68284035499</v>
      </c>
      <c r="C44" s="47" t="n">
        <f aca="false">C42*C43</f>
        <v>2930.89350880852</v>
      </c>
      <c r="D44" s="47" t="n">
        <f aca="false">D42*D43</f>
        <v>2689.70342363617</v>
      </c>
      <c r="E44" s="47" t="n">
        <f aca="false">E42*E43</f>
        <v>2468.08760921142</v>
      </c>
      <c r="F44" s="47" t="n">
        <f aca="false">F42*F43</f>
        <v>2264.50154089747</v>
      </c>
    </row>
    <row r="46" customFormat="false" ht="15" hidden="false" customHeight="true" outlineLevel="0" collapsed="false">
      <c r="A46" s="21" t="s">
        <v>451</v>
      </c>
      <c r="C46" s="47" t="n">
        <f aca="false">SUM(B44:F44)</f>
        <v>14115.8689229086</v>
      </c>
    </row>
    <row r="47" customFormat="false" ht="15" hidden="false" customHeight="true" outlineLevel="0" collapsed="false">
      <c r="A47" s="21" t="s">
        <v>438</v>
      </c>
      <c r="C47" s="38" t="n">
        <f aca="false">'Cash Flow Statement'!$D$105</f>
        <v>54670.4982934185</v>
      </c>
    </row>
    <row r="48" customFormat="false" ht="15" hidden="false" customHeight="true" outlineLevel="0" collapsed="false">
      <c r="A48" s="21" t="s">
        <v>452</v>
      </c>
      <c r="C48" s="47" t="n">
        <f aca="false">C47/(1+$C$10)^F7</f>
        <v>36708.4349806877</v>
      </c>
    </row>
    <row r="49" customFormat="false" ht="15" hidden="false" customHeight="true" outlineLevel="0" collapsed="false">
      <c r="A49" s="21" t="s">
        <v>453</v>
      </c>
      <c r="C49" s="47" t="n">
        <f aca="false">C46+C48</f>
        <v>50824.3039035963</v>
      </c>
    </row>
    <row r="50" customFormat="false" ht="15" hidden="false" customHeight="true" outlineLevel="0" collapsed="false">
      <c r="A50" s="21" t="s">
        <v>443</v>
      </c>
      <c r="C50" s="93" t="n">
        <f aca="false">C20</f>
        <v>1187</v>
      </c>
    </row>
    <row r="51" customFormat="false" ht="15" hidden="false" customHeight="true" outlineLevel="0" collapsed="false">
      <c r="A51" s="34" t="s">
        <v>454</v>
      </c>
      <c r="C51" s="49" t="n">
        <f aca="false">C49/C50</f>
        <v>42.8174422102749</v>
      </c>
    </row>
    <row r="52" customFormat="false" ht="15" hidden="false" customHeight="true" outlineLevel="0" collapsed="false">
      <c r="A52" s="21" t="s">
        <v>445</v>
      </c>
      <c r="C52" s="50" t="n">
        <f aca="false">C21</f>
        <v>25.37</v>
      </c>
    </row>
    <row r="53" customFormat="false" ht="15" hidden="false" customHeight="true" outlineLevel="0" collapsed="false">
      <c r="A53" s="21" t="s">
        <v>446</v>
      </c>
      <c r="C53" s="40" t="n">
        <f aca="false">C51/C52-1</f>
        <v>0.687719440688801</v>
      </c>
    </row>
    <row r="55" customFormat="false" ht="15" hidden="false" customHeight="true" outlineLevel="0" collapsed="false">
      <c r="A55" s="31" t="s">
        <v>455</v>
      </c>
      <c r="B55" s="31"/>
      <c r="C55" s="31"/>
      <c r="D55" s="31"/>
      <c r="E55" s="31"/>
      <c r="F55" s="31"/>
    </row>
    <row r="57" customFormat="false" ht="15" hidden="false" customHeight="true" outlineLevel="0" collapsed="false">
      <c r="A57" s="21" t="s">
        <v>456</v>
      </c>
      <c r="B57" s="38" t="n">
        <f aca="false">'Cash Flow Statement'!M87</f>
        <v>-214.106900534136</v>
      </c>
      <c r="C57" s="38" t="n">
        <f aca="false">'Cash Flow Statement'!N87</f>
        <v>-312.145972732669</v>
      </c>
      <c r="D57" s="38" t="n">
        <f aca="false">'Cash Flow Statement'!O87</f>
        <v>-407.905426135084</v>
      </c>
      <c r="E57" s="38" t="n">
        <f aca="false">'Cash Flow Statement'!P87</f>
        <v>-501.553260864238</v>
      </c>
      <c r="F57" s="38" t="n">
        <f aca="false">'Cash Flow Statement'!Q87</f>
        <v>-593.241649268813</v>
      </c>
    </row>
    <row r="58" customFormat="false" ht="15" hidden="false" customHeight="true" outlineLevel="0" collapsed="false">
      <c r="A58" s="21" t="s">
        <v>435</v>
      </c>
      <c r="B58" s="92" t="n">
        <f aca="false">1/(1+$C$9)^B7</f>
        <v>0.937518787421805</v>
      </c>
      <c r="C58" s="92" t="n">
        <f aca="false">1/(1+$C$9)^C7</f>
        <v>0.878941476768852</v>
      </c>
      <c r="D58" s="92" t="n">
        <f aca="false">1/(1+$C$9)^D7</f>
        <v>0.824024147515065</v>
      </c>
      <c r="E58" s="92" t="n">
        <f aca="false">1/(1+$C$9)^E7</f>
        <v>0.77253811958461</v>
      </c>
      <c r="F58" s="92" t="n">
        <f aca="false">1/(1+$C$9)^F7</f>
        <v>0.724269001110085</v>
      </c>
    </row>
    <row r="59" customFormat="false" ht="15" hidden="false" customHeight="true" outlineLevel="0" collapsed="false">
      <c r="A59" s="21" t="s">
        <v>457</v>
      </c>
      <c r="B59" s="47" t="n">
        <f aca="false">B57*B58</f>
        <v>-200.729241767404</v>
      </c>
      <c r="C59" s="47" t="n">
        <f aca="false">C57*C58</f>
        <v>-274.358042241102</v>
      </c>
      <c r="D59" s="47" t="n">
        <f aca="false">D57*D58</f>
        <v>-336.123921037732</v>
      </c>
      <c r="E59" s="47" t="n">
        <f aca="false">E57*E58</f>
        <v>-387.469013019588</v>
      </c>
      <c r="F59" s="47" t="n">
        <f aca="false">F57*F58</f>
        <v>-429.666536732823</v>
      </c>
    </row>
    <row r="61" customFormat="false" ht="15" hidden="false" customHeight="true" outlineLevel="0" collapsed="false">
      <c r="A61" s="21" t="s">
        <v>458</v>
      </c>
      <c r="C61" s="47" t="n">
        <f aca="false">SUM(B59:F59)</f>
        <v>-1628.34675479865</v>
      </c>
    </row>
    <row r="62" customFormat="false" ht="15" hidden="false" customHeight="true" outlineLevel="0" collapsed="false">
      <c r="A62" s="21" t="s">
        <v>438</v>
      </c>
      <c r="C62" s="38" t="n">
        <f aca="false">'Cash Flow Statement'!$D$106</f>
        <v>-12972.5094836963</v>
      </c>
    </row>
    <row r="63" customFormat="false" ht="15" hidden="false" customHeight="true" outlineLevel="0" collapsed="false">
      <c r="A63" s="21" t="s">
        <v>439</v>
      </c>
      <c r="C63" s="47" t="n">
        <f aca="false">C62/(1+$C$9)^F7</f>
        <v>-9395.58648564786</v>
      </c>
    </row>
    <row r="64" customFormat="false" ht="15" hidden="false" customHeight="true" outlineLevel="0" collapsed="false">
      <c r="A64" s="21" t="s">
        <v>459</v>
      </c>
      <c r="C64" s="47" t="n">
        <f aca="false">C15</f>
        <v>63436</v>
      </c>
    </row>
    <row r="65" customFormat="false" ht="15" hidden="false" customHeight="true" outlineLevel="0" collapsed="false">
      <c r="A65" s="21" t="s">
        <v>460</v>
      </c>
      <c r="C65" s="47" t="n">
        <f aca="false">C64+C61+C63</f>
        <v>52412.0667595535</v>
      </c>
    </row>
    <row r="66" customFormat="false" ht="15" hidden="false" customHeight="true" outlineLevel="0" collapsed="false">
      <c r="A66" s="21" t="s">
        <v>441</v>
      </c>
      <c r="C66" s="47" t="n">
        <f aca="false">-C19</f>
        <v>-17933</v>
      </c>
    </row>
    <row r="67" customFormat="false" ht="15" hidden="false" customHeight="true" outlineLevel="0" collapsed="false">
      <c r="A67" s="21" t="s">
        <v>442</v>
      </c>
      <c r="C67" s="47" t="n">
        <f aca="false">C65+C66</f>
        <v>34479.0667595535</v>
      </c>
    </row>
    <row r="68" customFormat="false" ht="15" hidden="false" customHeight="true" outlineLevel="0" collapsed="false">
      <c r="A68" s="21" t="s">
        <v>443</v>
      </c>
      <c r="C68" s="93" t="n">
        <f aca="false">C20</f>
        <v>1187</v>
      </c>
    </row>
    <row r="69" customFormat="false" ht="15" hidden="false" customHeight="true" outlineLevel="0" collapsed="false">
      <c r="A69" s="34" t="s">
        <v>461</v>
      </c>
      <c r="C69" s="49" t="n">
        <f aca="false">C67/C68</f>
        <v>29.0472340013088</v>
      </c>
    </row>
    <row r="70" customFormat="false" ht="15" hidden="false" customHeight="true" outlineLevel="0" collapsed="false">
      <c r="A70" s="21" t="s">
        <v>445</v>
      </c>
      <c r="C70" s="50" t="n">
        <f aca="false">C21</f>
        <v>25.37</v>
      </c>
    </row>
    <row r="71" customFormat="false" ht="15" hidden="false" customHeight="true" outlineLevel="0" collapsed="false">
      <c r="A71" s="21" t="s">
        <v>446</v>
      </c>
      <c r="C71" s="40" t="n">
        <f aca="false">C69/C70-1</f>
        <v>0.144944186098098</v>
      </c>
    </row>
    <row r="73" customFormat="false" ht="15" hidden="false" customHeight="true" outlineLevel="0" collapsed="false">
      <c r="A73" s="31" t="s">
        <v>462</v>
      </c>
      <c r="B73" s="31"/>
      <c r="C73" s="31"/>
      <c r="D73" s="31"/>
      <c r="E73" s="31"/>
      <c r="F73" s="31"/>
    </row>
    <row r="75" customFormat="false" ht="15" hidden="false" customHeight="true" outlineLevel="0" collapsed="false">
      <c r="A75" s="21" t="s">
        <v>463</v>
      </c>
      <c r="B75" s="38" t="n">
        <f aca="false">'Cash Flow Statement'!M91</f>
        <v>-54.8610532006992</v>
      </c>
      <c r="C75" s="38" t="n">
        <f aca="false">'Cash Flow Statement'!N91</f>
        <v>-167.262899094485</v>
      </c>
      <c r="D75" s="38" t="n">
        <f aca="false">'Cash Flow Statement'!O91</f>
        <v>-277.219394949321</v>
      </c>
      <c r="E75" s="38" t="n">
        <f aca="false">'Cash Flow Statement'!P91</f>
        <v>-384.905304244852</v>
      </c>
      <c r="F75" s="38" t="n">
        <f aca="false">'Cash Flow Statement'!Q91</f>
        <v>-490.478969979774</v>
      </c>
    </row>
    <row r="76" customFormat="false" ht="15" hidden="false" customHeight="true" outlineLevel="0" collapsed="false">
      <c r="A76" s="21" t="s">
        <v>449</v>
      </c>
      <c r="B76" s="92" t="n">
        <f aca="false">1/(1+$C$10)^B7</f>
        <v>0.923426997240506</v>
      </c>
      <c r="C76" s="92" t="n">
        <f aca="false">1/(1+$C$10)^C7</f>
        <v>0.852717419232618</v>
      </c>
      <c r="D76" s="92" t="n">
        <f aca="false">1/(1+$C$10)^D7</f>
        <v>0.787422285936651</v>
      </c>
      <c r="E76" s="92" t="n">
        <f aca="false">1/(1+$C$10)^E7</f>
        <v>0.727126997062737</v>
      </c>
      <c r="F76" s="92" t="n">
        <f aca="false">1/(1+$C$10)^F7</f>
        <v>0.671448699510149</v>
      </c>
    </row>
    <row r="77" customFormat="false" ht="15" hidden="false" customHeight="true" outlineLevel="0" collapsed="false">
      <c r="A77" s="21" t="s">
        <v>464</v>
      </c>
      <c r="B77" s="47" t="n">
        <f aca="false">B75*B76</f>
        <v>-50.6601776225733</v>
      </c>
      <c r="C77" s="47" t="n">
        <f aca="false">C75*C76</f>
        <v>-142.627987649215</v>
      </c>
      <c r="D77" s="47" t="n">
        <f aca="false">D75*D76</f>
        <v>-218.288729676969</v>
      </c>
      <c r="E77" s="47" t="n">
        <f aca="false">E75*E76</f>
        <v>-279.875038029078</v>
      </c>
      <c r="F77" s="47" t="n">
        <f aca="false">F75*F76</f>
        <v>-329.331466529997</v>
      </c>
    </row>
    <row r="79" customFormat="false" ht="15" hidden="false" customHeight="true" outlineLevel="0" collapsed="false">
      <c r="A79" s="21" t="s">
        <v>465</v>
      </c>
      <c r="C79" s="47" t="n">
        <f aca="false">SUM(B77:F77)</f>
        <v>-1020.78339950783</v>
      </c>
    </row>
    <row r="80" customFormat="false" ht="15" hidden="false" customHeight="true" outlineLevel="0" collapsed="false">
      <c r="A80" s="21" t="s">
        <v>438</v>
      </c>
      <c r="C80" s="38" t="n">
        <f aca="false">'Cash Flow Statement'!$D$107</f>
        <v>-7950.85145835739</v>
      </c>
    </row>
    <row r="81" customFormat="false" ht="15" hidden="false" customHeight="true" outlineLevel="0" collapsed="false">
      <c r="A81" s="21" t="s">
        <v>452</v>
      </c>
      <c r="C81" s="47" t="n">
        <f aca="false">C80/(1+$C$10)^F7</f>
        <v>-5338.58887171245</v>
      </c>
    </row>
    <row r="82" customFormat="false" ht="15" hidden="false" customHeight="true" outlineLevel="0" collapsed="false">
      <c r="A82" s="21" t="s">
        <v>466</v>
      </c>
      <c r="C82" s="47" t="n">
        <f aca="false">C16</f>
        <v>41664</v>
      </c>
    </row>
    <row r="83" customFormat="false" ht="15" hidden="false" customHeight="true" outlineLevel="0" collapsed="false">
      <c r="A83" s="21" t="s">
        <v>467</v>
      </c>
      <c r="C83" s="47" t="n">
        <f aca="false">C82+C79+C81</f>
        <v>35304.6277287797</v>
      </c>
    </row>
    <row r="84" customFormat="false" ht="15" hidden="false" customHeight="true" outlineLevel="0" collapsed="false">
      <c r="A84" s="21" t="s">
        <v>443</v>
      </c>
      <c r="C84" s="93" t="n">
        <f aca="false">C20</f>
        <v>1187</v>
      </c>
    </row>
    <row r="85" customFormat="false" ht="15" hidden="false" customHeight="true" outlineLevel="0" collapsed="false">
      <c r="A85" s="34" t="s">
        <v>468</v>
      </c>
      <c r="C85" s="49" t="n">
        <f aca="false">C83/C84</f>
        <v>29.742736081533</v>
      </c>
    </row>
    <row r="86" customFormat="false" ht="15" hidden="false" customHeight="true" outlineLevel="0" collapsed="false">
      <c r="A86" s="21" t="s">
        <v>445</v>
      </c>
      <c r="C86" s="50" t="n">
        <f aca="false">C21</f>
        <v>25.37</v>
      </c>
    </row>
    <row r="87" customFormat="false" ht="15" hidden="false" customHeight="true" outlineLevel="0" collapsed="false">
      <c r="A87" s="21" t="s">
        <v>446</v>
      </c>
      <c r="C87" s="40" t="n">
        <f aca="false">C85/C86-1</f>
        <v>0.17235853691498</v>
      </c>
    </row>
    <row r="89" customFormat="false" ht="15" hidden="false" customHeight="true" outlineLevel="0" collapsed="false">
      <c r="A89" s="31" t="s">
        <v>469</v>
      </c>
      <c r="B89" s="31"/>
      <c r="C89" s="31"/>
      <c r="D89" s="31"/>
      <c r="E89" s="31"/>
      <c r="F89" s="31"/>
    </row>
    <row r="91" customFormat="false" ht="15" hidden="false" customHeight="true" outlineLevel="0" collapsed="false">
      <c r="A91" s="34" t="s">
        <v>210</v>
      </c>
      <c r="B91" s="34" t="s">
        <v>470</v>
      </c>
      <c r="C91" s="34" t="s">
        <v>214</v>
      </c>
      <c r="D91" s="34" t="s">
        <v>445</v>
      </c>
      <c r="E91" s="34" t="s">
        <v>471</v>
      </c>
      <c r="F91" s="34" t="s">
        <v>472</v>
      </c>
    </row>
    <row r="92" customFormat="false" ht="15" hidden="false" customHeight="true" outlineLevel="0" collapsed="false">
      <c r="A92" s="21" t="s">
        <v>473</v>
      </c>
      <c r="B92" s="40" t="n">
        <f aca="false">C9</f>
        <v>0.0666452911839978</v>
      </c>
      <c r="C92" s="50" t="n">
        <f aca="false">C36</f>
        <v>55.3175746219198</v>
      </c>
      <c r="D92" s="50" t="n">
        <f aca="false">C37</f>
        <v>25.37</v>
      </c>
      <c r="E92" s="40" t="n">
        <f aca="false">C38</f>
        <v>1.18043258265352</v>
      </c>
      <c r="F92" s="21" t="str">
        <f aca="false">IF(C92&gt;D92,"Undervalued","Overvalued")</f>
        <v>Undervalued</v>
      </c>
    </row>
    <row r="93" customFormat="false" ht="15" hidden="false" customHeight="true" outlineLevel="0" collapsed="false">
      <c r="A93" s="21" t="s">
        <v>474</v>
      </c>
      <c r="B93" s="40" t="n">
        <f aca="false">C10</f>
        <v>0.0829226381601558</v>
      </c>
      <c r="C93" s="50" t="n">
        <f aca="false">C51</f>
        <v>42.8174422102749</v>
      </c>
      <c r="D93" s="50" t="n">
        <f aca="false">C52</f>
        <v>25.37</v>
      </c>
      <c r="E93" s="40" t="n">
        <f aca="false">C53</f>
        <v>0.687719440688801</v>
      </c>
      <c r="F93" s="21" t="str">
        <f aca="false">IF(C93&gt;D93,"Undervalued","Overvalued")</f>
        <v>Undervalued</v>
      </c>
    </row>
    <row r="94" customFormat="false" ht="15" hidden="false" customHeight="true" outlineLevel="0" collapsed="false">
      <c r="A94" s="21" t="s">
        <v>475</v>
      </c>
      <c r="B94" s="40" t="n">
        <f aca="false">C9</f>
        <v>0.0666452911839978</v>
      </c>
      <c r="C94" s="50" t="n">
        <f aca="false">C69</f>
        <v>29.0472340013088</v>
      </c>
      <c r="D94" s="50" t="n">
        <f aca="false">C70</f>
        <v>25.37</v>
      </c>
      <c r="E94" s="40" t="n">
        <f aca="false">C71</f>
        <v>0.144944186098098</v>
      </c>
      <c r="F94" s="21" t="str">
        <f aca="false">IF(C94&gt;D94,"Undervalued","Overvalued")</f>
        <v>Undervalued</v>
      </c>
    </row>
    <row r="95" customFormat="false" ht="15" hidden="false" customHeight="true" outlineLevel="0" collapsed="false">
      <c r="A95" s="21" t="s">
        <v>476</v>
      </c>
      <c r="B95" s="40" t="n">
        <f aca="false">C10</f>
        <v>0.0829226381601558</v>
      </c>
      <c r="C95" s="50" t="n">
        <f aca="false">C85</f>
        <v>29.742736081533</v>
      </c>
      <c r="D95" s="50" t="n">
        <f aca="false">C86</f>
        <v>25.37</v>
      </c>
      <c r="E95" s="40" t="n">
        <f aca="false">C87</f>
        <v>0.17235853691498</v>
      </c>
      <c r="F95" s="21" t="str">
        <f aca="false">IF(C95&gt;D95,"Undervalued","Overvalued")</f>
        <v>Undervalued</v>
      </c>
    </row>
    <row r="97" customFormat="false" ht="30" hidden="false" customHeight="true" outlineLevel="0" collapsed="false">
      <c r="A97" s="37" t="s">
        <v>477</v>
      </c>
    </row>
    <row r="98" customFormat="false" ht="45" hidden="false" customHeight="true" outlineLevel="0" collapsed="false">
      <c r="A98" s="37" t="s">
        <v>478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2026-07-06T22:39:32Z</dcterms:created>
  <dc:creator>openpyxl</dc:creator>
  <dc:description/>
  <dc:language>en-US</dc:language>
  <cp:lastModifiedBy>Wolf, Nolan (wolfnn)</cp:lastModifiedBy>
  <dcterms:modified xsi:type="dcterms:W3CDTF">2026-08-02T18:14:48Z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